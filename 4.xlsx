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<sst xmlns="http://schemas.openxmlformats.org/spreadsheetml/2006/main" count="1404" uniqueCount="1404">
  <si>
    <t>invoice_date</t>
  </si>
  <si>
    <t>due_date</t>
  </si>
  <si>
    <t>number</t>
  </si>
  <si>
    <t>status</t>
  </si>
  <si>
    <t>partner_name</t>
  </si>
  <si>
    <t>currency</t>
  </si>
  <si>
    <t>amount_due</t>
  </si>
  <si>
    <t>grand_total</t>
  </si>
  <si>
    <t>product_name</t>
  </si>
  <si>
    <t>quantity</t>
  </si>
  <si>
    <t>discount</t>
  </si>
  <si>
    <t xml:space="preserve">discount (RP)</t>
  </si>
  <si>
    <t>product_description</t>
  </si>
  <si>
    <t>amount</t>
  </si>
  <si>
    <t>2025-10-21</t>
  </si>
  <si>
    <t>2025-10-28</t>
  </si>
  <si>
    <t>INV/2025/0017119980</t>
  </si>
  <si>
    <t>Paid</t>
  </si>
  <si>
    <t xml:space="preserve">BENGKEL JAYA MOTOR MRANGGEN</t>
  </si>
  <si>
    <t>Rp</t>
  </si>
  <si>
    <t xml:space="preserve">QUELLE GEAR SAE 140 200L</t>
  </si>
  <si>
    <t>0%</t>
  </si>
  <si>
    <t>INV/2025/0017119981</t>
  </si>
  <si>
    <t xml:space="preserve">PAK ROHMAN (GUDANG) / WI TOKO</t>
  </si>
  <si>
    <t xml:space="preserve">KOMATSU DIESEL 10W30 20L</t>
  </si>
  <si>
    <t>2025-10-22</t>
  </si>
  <si>
    <t>2025-10-29</t>
  </si>
  <si>
    <t>INV/2025/0017119982</t>
  </si>
  <si>
    <t xml:space="preserve">BP UDIN (GUN)</t>
  </si>
  <si>
    <t xml:space="preserve">PHOENIX GREASE 14KG</t>
  </si>
  <si>
    <t>INV/2025/0017119983</t>
  </si>
  <si>
    <t>HARTONO</t>
  </si>
  <si>
    <t xml:space="preserve">UPSOL IMPERO ULTRATECH 24X0.8</t>
  </si>
  <si>
    <t>INV/2025/0017119984</t>
  </si>
  <si>
    <t xml:space="preserve">PAK RIYADI </t>
  </si>
  <si>
    <t xml:space="preserve">QUELLE SAE 40 200L</t>
  </si>
  <si>
    <t xml:space="preserve">MEDITRAN S40 4X5 GN</t>
  </si>
  <si>
    <t xml:space="preserve">KYOSO 140 12X1</t>
  </si>
  <si>
    <t xml:space="preserve">PRIMA XP 20W50 6X4 GN</t>
  </si>
  <si>
    <t xml:space="preserve">OLI CURAH MESIN DRUM 205L (BM)</t>
  </si>
  <si>
    <t>2025-10-23</t>
  </si>
  <si>
    <t>2025-11-22</t>
  </si>
  <si>
    <t>INV/2025/0017119985</t>
  </si>
  <si>
    <t xml:space="preserve">WIJAYA MOTOR KONDOM (BEJI)</t>
  </si>
  <si>
    <t xml:space="preserve">FEDERAL MATIC ORANGE 24X0.8 RB</t>
  </si>
  <si>
    <t xml:space="preserve">FEDERAL ULTRATECH 24X0.8 RB</t>
  </si>
  <si>
    <t xml:space="preserve">SHELL AX5 SCOOTER 12X0.8 RB</t>
  </si>
  <si>
    <t xml:space="preserve">MPX2  24X0.8 RB</t>
  </si>
  <si>
    <t xml:space="preserve">CASTROL ACTIVE 2T 12X0.7 RB</t>
  </si>
  <si>
    <t>INV/2025/0017119986</t>
  </si>
  <si>
    <t xml:space="preserve">GOLDEN MOTOR (WELERI)</t>
  </si>
  <si>
    <t xml:space="preserve">VELG CSRW 6.10MM OVAL</t>
  </si>
  <si>
    <t>INV/2025/0017119987</t>
  </si>
  <si>
    <t xml:space="preserve">PAK TIO (WILDAN MOTOR)</t>
  </si>
  <si>
    <t xml:space="preserve">MEDITRAN SC 2X10 GN</t>
  </si>
  <si>
    <t xml:space="preserve">MEDITRAN SC 4X5 GN</t>
  </si>
  <si>
    <t xml:space="preserve">MEDITRAN S40 4X5 RB</t>
  </si>
  <si>
    <t xml:space="preserve">UNIRACE GEAR 140 24X1</t>
  </si>
  <si>
    <t xml:space="preserve">VELG CSRW ENGKEL 6.6MM</t>
  </si>
  <si>
    <t>INV/2025/0017119988</t>
  </si>
  <si>
    <t xml:space="preserve">BP. HANTO BATANG</t>
  </si>
  <si>
    <t xml:space="preserve">MEDITRAN S40 209L WIB</t>
  </si>
  <si>
    <t>INV/2025/0017119989</t>
  </si>
  <si>
    <t xml:space="preserve">KANAYA MOTOR (PEMALANG)</t>
  </si>
  <si>
    <t xml:space="preserve">VELG CSRW 5.12MM BULAT</t>
  </si>
  <si>
    <t xml:space="preserve">VELG CSRW 5.10MM BULAT</t>
  </si>
  <si>
    <t xml:space="preserve">MEDITRAN SX 2X10 GN</t>
  </si>
  <si>
    <t xml:space="preserve">MEDITRAN S40 2X10 GN</t>
  </si>
  <si>
    <t xml:space="preserve">MEDITRAN S40 20X1 GN</t>
  </si>
  <si>
    <t xml:space="preserve">DELTALUBE MULTI SAE 40 4X5</t>
  </si>
  <si>
    <t>INV/2025/0017119990</t>
  </si>
  <si>
    <t xml:space="preserve">GEMINI MOTOR BATANG (SALES TIO)</t>
  </si>
  <si>
    <t xml:space="preserve">VELG CSRW 5.12MM OVAL</t>
  </si>
  <si>
    <t>INV/2025/0017119992</t>
  </si>
  <si>
    <t xml:space="preserve">TOKO NGISOR RANDU BATANG</t>
  </si>
  <si>
    <t>2025-10-24</t>
  </si>
  <si>
    <t>2025-11-23</t>
  </si>
  <si>
    <t>INV/2025/0017119993</t>
  </si>
  <si>
    <t xml:space="preserve">TUNGGAL AGUNG (JEPARA)</t>
  </si>
  <si>
    <t xml:space="preserve">VELG TOPU 6.12MM (600X16) INTER COOLER BULAT</t>
  </si>
  <si>
    <t>2025-10-31</t>
  </si>
  <si>
    <t>INV/2025/0017119994</t>
  </si>
  <si>
    <t xml:space="preserve">QUELLE HD 68 200L</t>
  </si>
  <si>
    <t xml:space="preserve">UNIRACE DIESEL SAE 40 200L</t>
  </si>
  <si>
    <t>INV/2025/0017119995</t>
  </si>
  <si>
    <t xml:space="preserve">TEMBIRING (DEMAK)</t>
  </si>
  <si>
    <t xml:space="preserve">TURALIK V52 200L TRN</t>
  </si>
  <si>
    <t>INV/2025/0017119996</t>
  </si>
  <si>
    <t xml:space="preserve">DENI (MRANGGEN)</t>
  </si>
  <si>
    <t xml:space="preserve">VELG TOPU 5.12MM (600X16) RAGASA BULAT</t>
  </si>
  <si>
    <t xml:space="preserve">PHILEYA DIESEL 15W-40 PAIL</t>
  </si>
  <si>
    <t xml:space="preserve">MAXI GO MERAH 24X250ML</t>
  </si>
  <si>
    <t>INV/2025/0017119997</t>
  </si>
  <si>
    <t xml:space="preserve">AGUS TOKO</t>
  </si>
  <si>
    <t xml:space="preserve">DRAGLINK CANTER</t>
  </si>
  <si>
    <t xml:space="preserve">TIEROD CANTER</t>
  </si>
  <si>
    <t>2025-10-25</t>
  </si>
  <si>
    <t>2025-11-24</t>
  </si>
  <si>
    <t>INV/2025/0017119998</t>
  </si>
  <si>
    <t xml:space="preserve">MAWAR JOGJA (GUNUNG KIDUL)</t>
  </si>
  <si>
    <t xml:space="preserve">DELTALUBE MULTI SAE 40 DRUM</t>
  </si>
  <si>
    <t xml:space="preserve">BAN AEOLUS 08 GARIS 1</t>
  </si>
  <si>
    <t xml:space="preserve">BAN AEOLUS 09</t>
  </si>
  <si>
    <t xml:space="preserve">BAN AEOLUS 67 (750.16)</t>
  </si>
  <si>
    <t xml:space="preserve">BAN SUPER GT88</t>
  </si>
  <si>
    <t xml:space="preserve">MEDITRAN SV40 200L TRN</t>
  </si>
  <si>
    <t>INV/2025/0017119999</t>
  </si>
  <si>
    <t xml:space="preserve">ROZI MOTOR BOJA </t>
  </si>
  <si>
    <t xml:space="preserve">UPSOL IMPERO MATIC 24X0.8ML</t>
  </si>
  <si>
    <t xml:space="preserve">MESRANIA 2T 20X1 RB</t>
  </si>
  <si>
    <t xml:space="preserve">YAMALUBE MATIC 24X0,8 TD</t>
  </si>
  <si>
    <t xml:space="preserve">YAMALUBE SILVER 24X0.8 TD</t>
  </si>
  <si>
    <t xml:space="preserve">SHELL AX7 12X0.8 SRY</t>
  </si>
  <si>
    <t xml:space="preserve">SHELL AX5 12X0.8 RB</t>
  </si>
  <si>
    <t xml:space="preserve">SHELL HX5 12X1 RB</t>
  </si>
  <si>
    <t xml:space="preserve">ENDURO MATIC 6X0.8 TD</t>
  </si>
  <si>
    <t xml:space="preserve">UPSOL SHOCK ABSORBER 48X200ML</t>
  </si>
  <si>
    <t xml:space="preserve">UPSOL TIRESEALANT 24X370ML</t>
  </si>
  <si>
    <t>2025-11-01</t>
  </si>
  <si>
    <t>INV/2025/0017120000</t>
  </si>
  <si>
    <t xml:space="preserve">T.V CSRW 6.10MM BULAT</t>
  </si>
  <si>
    <t xml:space="preserve">OLI CURAH HIDROLIS DRUM 205L (BM)</t>
  </si>
  <si>
    <t xml:space="preserve">TMO BENSIN 10W40 4X4 SRY</t>
  </si>
  <si>
    <t xml:space="preserve">UNIRACE DIESEL SAE40 20L</t>
  </si>
  <si>
    <t xml:space="preserve">KYOSO 90 12X1</t>
  </si>
  <si>
    <t xml:space="preserve">SHELL RIMULA R4X 3X5 ORI</t>
  </si>
  <si>
    <t xml:space="preserve">SHELL HX5 4X4 ORI</t>
  </si>
  <si>
    <t xml:space="preserve">MEDITRAN SX 6X4 GN</t>
  </si>
  <si>
    <t>INV/2025/0017120001</t>
  </si>
  <si>
    <t xml:space="preserve">DELTALUBE MULTI SAE 40 20X1</t>
  </si>
  <si>
    <t xml:space="preserve">LAHER ASB 6301 2RS</t>
  </si>
  <si>
    <t xml:space="preserve">LAHER ASB 6300 2RS</t>
  </si>
  <si>
    <t xml:space="preserve">LAHER ASB 6302 2RS</t>
  </si>
  <si>
    <t>INV/2025/0017120002</t>
  </si>
  <si>
    <t xml:space="preserve">HANIN BAN PURWODADI</t>
  </si>
  <si>
    <t xml:space="preserve">VELG TOPU 8.16MM - 750 - R20 BLACK SPIN</t>
  </si>
  <si>
    <t xml:space="preserve">VELG TOPU 800 R20 8.16MM OVAL</t>
  </si>
  <si>
    <t xml:space="preserve">MESRAN SUPER 20X1 GN</t>
  </si>
  <si>
    <t>2025-10-27</t>
  </si>
  <si>
    <t>2025-11-03</t>
  </si>
  <si>
    <t>INV/2025/0017120003</t>
  </si>
  <si>
    <t xml:space="preserve">QUELLE HD68 16L</t>
  </si>
  <si>
    <t>INV/2025/0017120004</t>
  </si>
  <si>
    <t xml:space="preserve">ANDRI BENGKEL (WUJIL)</t>
  </si>
  <si>
    <t xml:space="preserve">KYODO YUSHI BEARING GREASE 24X1LB</t>
  </si>
  <si>
    <t>INV/2025/0017120005</t>
  </si>
  <si>
    <t>FENDI</t>
  </si>
  <si>
    <t xml:space="preserve">VELG TOPU 5.12 OVAL</t>
  </si>
  <si>
    <t>INV/2025/0017120006</t>
  </si>
  <si>
    <t xml:space="preserve">PINDAH DRUM KE KODE WIB</t>
  </si>
  <si>
    <t xml:space="preserve">PHILEYA GEAR 80-90 PAIL</t>
  </si>
  <si>
    <t>2025-11-04</t>
  </si>
  <si>
    <t>INV/2025/0017120007</t>
  </si>
  <si>
    <t xml:space="preserve">PT. MAHIDARA</t>
  </si>
  <si>
    <t xml:space="preserve">TURALIK V52 200L GMI</t>
  </si>
  <si>
    <t>INV/2025/0017120008</t>
  </si>
  <si>
    <t xml:space="preserve">GREASE PERTAMINA PAIL (ECER)</t>
  </si>
  <si>
    <t>2025-11-27</t>
  </si>
  <si>
    <t>INV/2025/0017120009</t>
  </si>
  <si>
    <t>Overdue</t>
  </si>
  <si>
    <t xml:space="preserve">BP. HERI UNGARAN</t>
  </si>
  <si>
    <t xml:space="preserve">UPSOL GEAR MATIC 48X120ML</t>
  </si>
  <si>
    <t xml:space="preserve">UPSOL RADIATOR COOLANT 12X1</t>
  </si>
  <si>
    <t xml:space="preserve">UPSOL IMPERO ULTRATECH 4T 20W50 24X1</t>
  </si>
  <si>
    <t xml:space="preserve">UPSOL IMPERO SXZ 2T  24x800ml</t>
  </si>
  <si>
    <t xml:space="preserve">UPSOL CARBUCLEAN 20X500ML</t>
  </si>
  <si>
    <t xml:space="preserve">UPSOL BREAKFLUID 24X300ML</t>
  </si>
  <si>
    <t>INV/2025/0017120010</t>
  </si>
  <si>
    <t xml:space="preserve">PAK DARMINTO (TERMINAL)</t>
  </si>
  <si>
    <t>INV/2025/0017120011</t>
  </si>
  <si>
    <t xml:space="preserve">VITA VILLA (RYAN) PUDAK PAYUNG</t>
  </si>
  <si>
    <t xml:space="preserve">GREENZOIL 15W40 200L</t>
  </si>
  <si>
    <t xml:space="preserve">VELG TOPU 6.12MM OVAL</t>
  </si>
  <si>
    <t>INV/2025/0017120012</t>
  </si>
  <si>
    <t xml:space="preserve">ADAM JAYA SEMARANG</t>
  </si>
  <si>
    <t xml:space="preserve">TOPI VELG CSRW 6.12 OVAL LXL</t>
  </si>
  <si>
    <t xml:space="preserve">TOPI VELG CSRW 5.12 OVAL LXL</t>
  </si>
  <si>
    <t xml:space="preserve">ENDURO 4T 6X1 GN</t>
  </si>
  <si>
    <t xml:space="preserve">ENDURO RACING 6X1 GN</t>
  </si>
  <si>
    <t xml:space="preserve">T.V TOPU 5.12MM</t>
  </si>
  <si>
    <t xml:space="preserve">ENDURO MATIC S 6X0.8 GN</t>
  </si>
  <si>
    <t xml:space="preserve">ENDURO MATIC G 6X0.8 GN</t>
  </si>
  <si>
    <t xml:space="preserve">SHELL HX7 4X4 ORI</t>
  </si>
  <si>
    <t xml:space="preserve">SHELL HX7 12X1 PTM</t>
  </si>
  <si>
    <t xml:space="preserve">SHELL AX7 MATIC 12X1   PTM</t>
  </si>
  <si>
    <t xml:space="preserve">RORED HDA 90 6X4 GN</t>
  </si>
  <si>
    <t>INV/2025/0017120013</t>
  </si>
  <si>
    <t xml:space="preserve">MEDITRAN SX 20X1 GN</t>
  </si>
  <si>
    <t xml:space="preserve">SHELL HX6 4X4 ORI</t>
  </si>
  <si>
    <t>2025-11-28</t>
  </si>
  <si>
    <t>INV/2025/0017120014</t>
  </si>
  <si>
    <t xml:space="preserve">PAK AJI PBI (SEMARANG)</t>
  </si>
  <si>
    <t>2025-11-05</t>
  </si>
  <si>
    <t>INV/2025/0017120015</t>
  </si>
  <si>
    <t xml:space="preserve">T.V CSRW 5.12MM OVAL</t>
  </si>
  <si>
    <t xml:space="preserve">T.V CSRW 5.10MM OVAL</t>
  </si>
  <si>
    <t xml:space="preserve">VELG INCOE L300 5.5MM (14X5J) SILVER</t>
  </si>
  <si>
    <t xml:space="preserve">MEDITRAN SC 20X1 GN</t>
  </si>
  <si>
    <t xml:space="preserve">MESRAN B40 6X4 GN</t>
  </si>
  <si>
    <t>INV/2025/0017120016</t>
  </si>
  <si>
    <t xml:space="preserve">MESRAN B40 20X1 GN</t>
  </si>
  <si>
    <t xml:space="preserve">UPSOL RADIATOR COOLANT 4X5</t>
  </si>
  <si>
    <t>INV/2025/0017120017</t>
  </si>
  <si>
    <t xml:space="preserve">BP ADI UNGARAN </t>
  </si>
  <si>
    <t>INV/2025/0017120018</t>
  </si>
  <si>
    <t>INV/2025/0017120019</t>
  </si>
  <si>
    <t xml:space="preserve">SALINDO BAN (SALATIGA)</t>
  </si>
  <si>
    <t xml:space="preserve">ENDURO 4T 6X0.8 RB</t>
  </si>
  <si>
    <t>INV/2025/0017120020</t>
  </si>
  <si>
    <t xml:space="preserve">GLORIA MOTOR</t>
  </si>
  <si>
    <t xml:space="preserve">PRIMA XP 20W50 6X1 GN</t>
  </si>
  <si>
    <t>INV/2025/0017120021</t>
  </si>
  <si>
    <t xml:space="preserve">PANGESTU MOTOR (KUDUS)</t>
  </si>
  <si>
    <t>INV/2025/0017120022</t>
  </si>
  <si>
    <t xml:space="preserve">BU KAM (JUWANA)</t>
  </si>
  <si>
    <t xml:space="preserve">FILTER SOLAR SAKURA F-1003 (25)</t>
  </si>
  <si>
    <t>INV/2025/0017120023</t>
  </si>
  <si>
    <t>INV/2025/0017120024</t>
  </si>
  <si>
    <t xml:space="preserve">WAHYU ARIF (PATI)</t>
  </si>
  <si>
    <t xml:space="preserve">MEDITRAN 40 POLOS 209L WIB</t>
  </si>
  <si>
    <t>INV/2025/0017120025</t>
  </si>
  <si>
    <t xml:space="preserve">SUMBER HARAPAN (SARANG)</t>
  </si>
  <si>
    <t>INV/2025/0017120026</t>
  </si>
  <si>
    <t xml:space="preserve">SHELL HX5 12X1 ORI</t>
  </si>
  <si>
    <t xml:space="preserve">SHELL HX7 4X4 SRY</t>
  </si>
  <si>
    <t>2025-10-30</t>
  </si>
  <si>
    <t>2025-11-06</t>
  </si>
  <si>
    <t>INV/2025/0017120027</t>
  </si>
  <si>
    <t xml:space="preserve">BP. LILIS</t>
  </si>
  <si>
    <t>INV/2025/0017120028</t>
  </si>
  <si>
    <t>IWAN</t>
  </si>
  <si>
    <t xml:space="preserve">AS BALEK CANTER</t>
  </si>
  <si>
    <t>INV/2025/0017120029</t>
  </si>
  <si>
    <t>INV/2025/0017120030</t>
  </si>
  <si>
    <t xml:space="preserve">GREASE PERTAMINA COKLAT DRUM</t>
  </si>
  <si>
    <t>2025-11-07</t>
  </si>
  <si>
    <t>INV/2025/0017120031</t>
  </si>
  <si>
    <t xml:space="preserve">DELTALUBE MULTI SAE 30 4X5</t>
  </si>
  <si>
    <t>INV/2025/0017120032</t>
  </si>
  <si>
    <t>2025-11-30</t>
  </si>
  <si>
    <t>INV/2025/0017120033</t>
  </si>
  <si>
    <t xml:space="preserve">PRIMA XP 10W40 6X1 GN</t>
  </si>
  <si>
    <t xml:space="preserve">MESRAN B40 4X5 GN</t>
  </si>
  <si>
    <t xml:space="preserve">RORED EPA 140 6X4 GN</t>
  </si>
  <si>
    <t xml:space="preserve">TMO DIESEL 15W-40 12X1 SRY</t>
  </si>
  <si>
    <t xml:space="preserve">TMO DIESEL 15W40 4X4 SRY</t>
  </si>
  <si>
    <t xml:space="preserve">SHELL HX7 12X1 SRY</t>
  </si>
  <si>
    <t>INV/2025/0017120034</t>
  </si>
  <si>
    <t xml:space="preserve">SHELL HX6 4X4 PTM</t>
  </si>
  <si>
    <t>INV/2025/0017120035</t>
  </si>
  <si>
    <t xml:space="preserve">SHELL HX5 4X4 SRY</t>
  </si>
  <si>
    <t>INV/2025/0017120036</t>
  </si>
  <si>
    <t xml:space="preserve">JOKO TERUNA</t>
  </si>
  <si>
    <t>INV/2025/0017120037</t>
  </si>
  <si>
    <t>2025-12-01</t>
  </si>
  <si>
    <t>INV/2025/0017120038</t>
  </si>
  <si>
    <t xml:space="preserve">DIPERMA JAYA (PEMALANG)</t>
  </si>
  <si>
    <t>2025-11-08</t>
  </si>
  <si>
    <t>INV/2025/0017120039</t>
  </si>
  <si>
    <t>INV/2025/0017120040</t>
  </si>
  <si>
    <t xml:space="preserve">ENGGAL MOTOR (KESESI)</t>
  </si>
  <si>
    <t xml:space="preserve">SHELL HX6 12X1 ORI</t>
  </si>
  <si>
    <t>INV/2025/0017120041</t>
  </si>
  <si>
    <t xml:space="preserve">JAYA KUSUMA (KENDAL)</t>
  </si>
  <si>
    <t>INV/2025/0017120042</t>
  </si>
  <si>
    <t xml:space="preserve">TOLE MOTOR (KAJEN)</t>
  </si>
  <si>
    <t>INV/2025/0017120043</t>
  </si>
  <si>
    <t xml:space="preserve">SHELL HX7 12X1 ORI</t>
  </si>
  <si>
    <t xml:space="preserve">FEDERAL ULTRATECH 24X1 TD</t>
  </si>
  <si>
    <t>2025-12-03</t>
  </si>
  <si>
    <t>INV/2025/0017120044</t>
  </si>
  <si>
    <t xml:space="preserve">RAHAYU BAN (PATI)</t>
  </si>
  <si>
    <t xml:space="preserve">VELG CSRW 6.12MM (600X17.5) TUBLESS SILVER</t>
  </si>
  <si>
    <t>2025-11-10</t>
  </si>
  <si>
    <t>INV/2025/0017120045</t>
  </si>
  <si>
    <t>8%</t>
  </si>
  <si>
    <t>INV/2025/0017120046</t>
  </si>
  <si>
    <t xml:space="preserve">REJO MOTOR DEMAK</t>
  </si>
  <si>
    <t>INV/2025/0017120047</t>
  </si>
  <si>
    <t xml:space="preserve">PAK HAJI (IKSAN,PATI)</t>
  </si>
  <si>
    <t xml:space="preserve">FEDERAL ULTRATECH 24X1 RB</t>
  </si>
  <si>
    <t xml:space="preserve">AHM GEAR 48X120 RB</t>
  </si>
  <si>
    <t>INV/2025/0017120048</t>
  </si>
  <si>
    <t xml:space="preserve">BAN SWALLOW HD 7.50</t>
  </si>
  <si>
    <t>2025-11-11</t>
  </si>
  <si>
    <t>INV/2025/0017120049</t>
  </si>
  <si>
    <t xml:space="preserve">PAK ZAENAL (JUMBO)</t>
  </si>
  <si>
    <t xml:space="preserve">MOBIL SUPER 1000 X2 15W40 4X4 (SRY)</t>
  </si>
  <si>
    <t>INV/2025/0017120050</t>
  </si>
  <si>
    <t xml:space="preserve">GREENZOIL (RETUR)</t>
  </si>
  <si>
    <t xml:space="preserve">GREENZOIL GHYDRO 68 18L</t>
  </si>
  <si>
    <t xml:space="preserve">GREENZOIL GTURBO 20W50 18L</t>
  </si>
  <si>
    <t>INV/2025/0017120051</t>
  </si>
  <si>
    <t xml:space="preserve">ADI (SIMO,BOYOLALI)</t>
  </si>
  <si>
    <t xml:space="preserve">SHELL RIMULA R4 3X5 SRY</t>
  </si>
  <si>
    <t xml:space="preserve">MPX1 24X0.8 RB</t>
  </si>
  <si>
    <t xml:space="preserve">MESRAN SUPER 24X0.8 GN</t>
  </si>
  <si>
    <t xml:space="preserve">SHELL HX7 4X4 RB</t>
  </si>
  <si>
    <t xml:space="preserve">MPX2 24X0.65 RB</t>
  </si>
  <si>
    <t xml:space="preserve">MPX2 24X0.8 TD</t>
  </si>
  <si>
    <t xml:space="preserve">SHELL AX5 SCOOTER 12X0.8  PTM</t>
  </si>
  <si>
    <t>2025-11-12</t>
  </si>
  <si>
    <t>INV/2025/0017120052</t>
  </si>
  <si>
    <t xml:space="preserve">KHAFID (JEPARA)</t>
  </si>
  <si>
    <t>2025-12-05</t>
  </si>
  <si>
    <t>INV/2025/0017120053</t>
  </si>
  <si>
    <t xml:space="preserve">SHELL RIMULA R2 3X5  ORI</t>
  </si>
  <si>
    <t>INV/2025/0017120054</t>
  </si>
  <si>
    <t>INV/2025/0017120055</t>
  </si>
  <si>
    <t xml:space="preserve">BP. MUHTAR</t>
  </si>
  <si>
    <t>INV/2025/0017120056</t>
  </si>
  <si>
    <t>INV/2025/0017120057</t>
  </si>
  <si>
    <t xml:space="preserve">ASP MOTOR (KLATEN)</t>
  </si>
  <si>
    <t xml:space="preserve">MEDITRAN S50 209L GN</t>
  </si>
  <si>
    <t xml:space="preserve">ROTARY MP PINK 16KG</t>
  </si>
  <si>
    <t>INV/2025/0017120058</t>
  </si>
  <si>
    <t>INV/2025/0017120059</t>
  </si>
  <si>
    <t>BUBUT</t>
  </si>
  <si>
    <t xml:space="preserve">T.V CSRW 6.12MM BULAT</t>
  </si>
  <si>
    <t xml:space="preserve">T.V CSRW 5.12MM BULAT</t>
  </si>
  <si>
    <t>INV/2025/0017120060</t>
  </si>
  <si>
    <t xml:space="preserve">T.V TOPU 6.12MM OVAL</t>
  </si>
  <si>
    <t xml:space="preserve">VELG CSRW 6.12MM OVAL</t>
  </si>
  <si>
    <t>INV/2025/0017120061</t>
  </si>
  <si>
    <t xml:space="preserve">PAK ZAENAL (MOJOKERTO)</t>
  </si>
  <si>
    <t xml:space="preserve">GREENZOIL GTURBO 20W50 4X4</t>
  </si>
  <si>
    <t>30%</t>
  </si>
  <si>
    <t xml:space="preserve">GREENZOIL GTURBO 20W50 12X1</t>
  </si>
  <si>
    <t xml:space="preserve">GREENZOIL GTURBO 15W40 4X4</t>
  </si>
  <si>
    <t xml:space="preserve">GREENZOIL GTURBO 15W40 12X1</t>
  </si>
  <si>
    <t xml:space="preserve">GREENZOIL GEAR MOTOR 48X120ML</t>
  </si>
  <si>
    <t>40%</t>
  </si>
  <si>
    <t>2025-11-13</t>
  </si>
  <si>
    <t>INV/2025/0017120063</t>
  </si>
  <si>
    <t xml:space="preserve">ANDI HINO</t>
  </si>
  <si>
    <t xml:space="preserve">GEAR SET HT130 6X41 NGT</t>
  </si>
  <si>
    <t>INV/2025/0017120064</t>
  </si>
  <si>
    <t xml:space="preserve">OKI ELPIJI (UNGARAN)</t>
  </si>
  <si>
    <t xml:space="preserve">MEDITRAN S40 209L TRN</t>
  </si>
  <si>
    <t>INV/2025/0017120065</t>
  </si>
  <si>
    <t xml:space="preserve">ERWIN INTILUBE</t>
  </si>
  <si>
    <t xml:space="preserve">MASTER RADIATOR COOLANT HIJAU 6X4</t>
  </si>
  <si>
    <t>INV/2025/0017120066</t>
  </si>
  <si>
    <t xml:space="preserve">AS RODA HOP,HT,DUTRO</t>
  </si>
  <si>
    <t>2025-11-14</t>
  </si>
  <si>
    <t>INV/2025/0017120067</t>
  </si>
  <si>
    <t xml:space="preserve">JAYA SUBUR (TUBAN)</t>
  </si>
  <si>
    <t xml:space="preserve">TURALIK 52 209L DRUM BD</t>
  </si>
  <si>
    <t xml:space="preserve">GREASE PERTAMINA SGX NLGI 2 JG</t>
  </si>
  <si>
    <t>2025-12-07</t>
  </si>
  <si>
    <t>INV/2025/0017120068</t>
  </si>
  <si>
    <t xml:space="preserve">PAK WAWAN (KRAGAN)</t>
  </si>
  <si>
    <t xml:space="preserve">ROWLUBE HYD PAIL</t>
  </si>
  <si>
    <t>15%</t>
  </si>
  <si>
    <t>INV/2025/0017120069</t>
  </si>
  <si>
    <t>10%</t>
  </si>
  <si>
    <t xml:space="preserve">SHELL HX5 4X4 PTM</t>
  </si>
  <si>
    <t>INV/2025/0017120070</t>
  </si>
  <si>
    <t xml:space="preserve">PRIMA XP 20W50 209L GNAN</t>
  </si>
  <si>
    <t>INV/2025/0017120071</t>
  </si>
  <si>
    <t xml:space="preserve">BP. HERRY SEMARANG</t>
  </si>
  <si>
    <t xml:space="preserve">UPSOL CHAMPION RACING 12X1</t>
  </si>
  <si>
    <t>INV/2025/0017120072</t>
  </si>
  <si>
    <t xml:space="preserve">BRIAN MOTOR SEMARANG</t>
  </si>
  <si>
    <t>INV/2025/0017120073</t>
  </si>
  <si>
    <t xml:space="preserve">GREENZOIL GTURBO 10W40 4X4</t>
  </si>
  <si>
    <t>INV/2025/0017120074</t>
  </si>
  <si>
    <t xml:space="preserve">SHELL AX7 MATIC 12X0,8 RB</t>
  </si>
  <si>
    <t>INV/2025/0017120075</t>
  </si>
  <si>
    <t xml:space="preserve">WI TRANSPORT</t>
  </si>
  <si>
    <t>INV/2025/0017120076</t>
  </si>
  <si>
    <t xml:space="preserve">SUMBER REJEKI (KAJEN)</t>
  </si>
  <si>
    <t xml:space="preserve">FEDERAL ULTRATECH 24X0.8 TD</t>
  </si>
  <si>
    <t>INV/2025/0017120077</t>
  </si>
  <si>
    <t xml:space="preserve">BP. HENDRA BATANG</t>
  </si>
  <si>
    <t>INV/2025/0017120078</t>
  </si>
  <si>
    <t xml:space="preserve">BP. BENI (BATANG)</t>
  </si>
  <si>
    <t xml:space="preserve">UNIRACE GEAR 90 24X1</t>
  </si>
  <si>
    <t xml:space="preserve">OLI CURAH MESIN DRUM BD</t>
  </si>
  <si>
    <t>INV/2025/0017120079</t>
  </si>
  <si>
    <t xml:space="preserve">FEDERAL MATIC ECOMAXX 24X0.8 RB</t>
  </si>
  <si>
    <t xml:space="preserve">MESRAN B40 20X1 RB</t>
  </si>
  <si>
    <t xml:space="preserve">T.V CSRW 5.10MM BULAT</t>
  </si>
  <si>
    <t xml:space="preserve">SHELL HX6 4X4 SRY</t>
  </si>
  <si>
    <t>2025-11-15</t>
  </si>
  <si>
    <t>INV/2025/0017120080</t>
  </si>
  <si>
    <t>2025-12-08</t>
  </si>
  <si>
    <t>INV/2025/0017120081</t>
  </si>
  <si>
    <t>INV/2025/0017120082</t>
  </si>
  <si>
    <t xml:space="preserve">MAS WAWAN (BEJI)</t>
  </si>
  <si>
    <t>INV/2025/0017120083</t>
  </si>
  <si>
    <t>2025-11-17</t>
  </si>
  <si>
    <t>INV/2025/0017120084</t>
  </si>
  <si>
    <t>SANEX</t>
  </si>
  <si>
    <t xml:space="preserve">UNIRACE HID 68 20L</t>
  </si>
  <si>
    <t xml:space="preserve">PRIMA XP 20W50 6X4 RB</t>
  </si>
  <si>
    <t>2025-12-10</t>
  </si>
  <si>
    <t>INV/2025/0017120085</t>
  </si>
  <si>
    <t xml:space="preserve">PAK JUN (JUWANA)</t>
  </si>
  <si>
    <t xml:space="preserve">MEDITRAN S40 2X10 RB</t>
  </si>
  <si>
    <t xml:space="preserve">MEDITRAN SC 2X10 RB</t>
  </si>
  <si>
    <t>INV/2025/0017120086</t>
  </si>
  <si>
    <t>INV/2025/0017120087</t>
  </si>
  <si>
    <t xml:space="preserve">SUMBER JASA (SALATIGA)</t>
  </si>
  <si>
    <t xml:space="preserve">GREENZOIL GTURBO 15W40 18L</t>
  </si>
  <si>
    <t>12%</t>
  </si>
  <si>
    <t>2025-11-18</t>
  </si>
  <si>
    <t>INV/2025/0017120088</t>
  </si>
  <si>
    <t xml:space="preserve">BP. KAMSI PBI</t>
  </si>
  <si>
    <t xml:space="preserve">VELG AKP 6.9MM</t>
  </si>
  <si>
    <t xml:space="preserve">T.V AKP 6.9MM OVAL</t>
  </si>
  <si>
    <t>2025-12-11</t>
  </si>
  <si>
    <t>INV/2025/0017120089</t>
  </si>
  <si>
    <t>2025-11-25</t>
  </si>
  <si>
    <t>INV/2025/0017120090</t>
  </si>
  <si>
    <t xml:space="preserve">PRIMA XP 20W50 6X1 RB</t>
  </si>
  <si>
    <t>INV/2025/0017120091</t>
  </si>
  <si>
    <t xml:space="preserve">MEDITRAN SC 4X5 RB</t>
  </si>
  <si>
    <t xml:space="preserve">VELG TOPU 6.12MM (600X17.5) TL</t>
  </si>
  <si>
    <t xml:space="preserve">YAMALUBE MATIC 24X0.8 RB</t>
  </si>
  <si>
    <t xml:space="preserve">VELG CSRW 6.12MM BULAT</t>
  </si>
  <si>
    <t>2025-12-12</t>
  </si>
  <si>
    <t>INV/2025/0017120092</t>
  </si>
  <si>
    <t xml:space="preserve">MESRAN SUPER 20X1 RB</t>
  </si>
  <si>
    <t xml:space="preserve">MESRAN SUPER 24X0.8 RB</t>
  </si>
  <si>
    <t>INV/2025/0017120093</t>
  </si>
  <si>
    <t>2025-11-19</t>
  </si>
  <si>
    <t>INV/2025/0017120094</t>
  </si>
  <si>
    <t xml:space="preserve">ADHIT PUTRA (MRANGGEN)</t>
  </si>
  <si>
    <t>INV/2025/0017120095</t>
  </si>
  <si>
    <t>INV/2025/0017120096</t>
  </si>
  <si>
    <t xml:space="preserve">DRUM KOSONG QUELLE</t>
  </si>
  <si>
    <t>INV/2025/0017120097</t>
  </si>
  <si>
    <t>2025-11-20</t>
  </si>
  <si>
    <t>INV/2025/0017120098</t>
  </si>
  <si>
    <t>INV/2025/0017120099</t>
  </si>
  <si>
    <t xml:space="preserve">DUTA (PATI)</t>
  </si>
  <si>
    <t>2025-12-13</t>
  </si>
  <si>
    <t>INV/2025/0017120100</t>
  </si>
  <si>
    <t xml:space="preserve">RAHAYU MOTOR (PATI)</t>
  </si>
  <si>
    <t>INV/2025/0017120101</t>
  </si>
  <si>
    <t xml:space="preserve">SIDODADI BAN (JEPARA)</t>
  </si>
  <si>
    <t xml:space="preserve">MEDITRAN SX 209L TRN</t>
  </si>
  <si>
    <t>INV/2025/0017120102</t>
  </si>
  <si>
    <t xml:space="preserve">BU IKA (SEMARANG)</t>
  </si>
  <si>
    <t>INV/2025/0017120103</t>
  </si>
  <si>
    <t xml:space="preserve">VELG ZXTOP 5.10MM OVAL</t>
  </si>
  <si>
    <t xml:space="preserve">SHELL AX7 12X0.8  PTM</t>
  </si>
  <si>
    <t xml:space="preserve">ENDURO 4T 6X0.8 GN</t>
  </si>
  <si>
    <t xml:space="preserve">YAMALUBE SILVER 24XO.8 ORI</t>
  </si>
  <si>
    <t>INV/2025/0017120104</t>
  </si>
  <si>
    <t xml:space="preserve">DEVA MAGELANG</t>
  </si>
  <si>
    <t xml:space="preserve">RORED HDA 140 6X4 GN</t>
  </si>
  <si>
    <t>INV/2025/0017120105</t>
  </si>
  <si>
    <t xml:space="preserve">GREENZOIL GTURBO 15W40 12X0,8</t>
  </si>
  <si>
    <t>20%</t>
  </si>
  <si>
    <t>INV/2025/0017120106</t>
  </si>
  <si>
    <t>2025-11-21</t>
  </si>
  <si>
    <t>INV/2025/0017120107</t>
  </si>
  <si>
    <t xml:space="preserve">ROTARY SILVER LITHIUM MP 101 32X1</t>
  </si>
  <si>
    <t>2025-12-14</t>
  </si>
  <si>
    <t>INV/2025/0017120108</t>
  </si>
  <si>
    <t xml:space="preserve">ARI SL</t>
  </si>
  <si>
    <t>INV/2025/0017120109</t>
  </si>
  <si>
    <t xml:space="preserve">ROHIM SALATIGA</t>
  </si>
  <si>
    <t xml:space="preserve">MITSUBISHI FUSO DIESEL 15W40 DRUM</t>
  </si>
  <si>
    <t>INV/2025/0017120110</t>
  </si>
  <si>
    <t xml:space="preserve">MEDITRAN S40 20X1 RB</t>
  </si>
  <si>
    <t>INV/2025/0017120111</t>
  </si>
  <si>
    <t xml:space="preserve">UPSOL CHAINLUBE 24X300ML</t>
  </si>
  <si>
    <t>INV/2025/0017120112</t>
  </si>
  <si>
    <t xml:space="preserve">UPSOL BREAKFLUID 48X50ML</t>
  </si>
  <si>
    <t>INV/2025/0017120113</t>
  </si>
  <si>
    <t xml:space="preserve">CBR MOTOR (BATANG)</t>
  </si>
  <si>
    <t xml:space="preserve">MEDITRAN SX 2X10 RB</t>
  </si>
  <si>
    <t xml:space="preserve">MEDITRAN SX 20X1 RB</t>
  </si>
  <si>
    <t>INV/2025/0017120114</t>
  </si>
  <si>
    <t xml:space="preserve">SUTA JAYA (PEMALANG)</t>
  </si>
  <si>
    <t xml:space="preserve">VELG AKP 5.9MM</t>
  </si>
  <si>
    <t>INV/2025/0017120115</t>
  </si>
  <si>
    <t xml:space="preserve">KISS MOTOR (BATANG)</t>
  </si>
  <si>
    <t>INV/2025/0017120116</t>
  </si>
  <si>
    <t xml:space="preserve">SHELL RIMULA R4 12X1 PTM</t>
  </si>
  <si>
    <t xml:space="preserve">ENDURO MATIC 6X0.8 RB</t>
  </si>
  <si>
    <t xml:space="preserve">ENDURO RACING 6X1 RB</t>
  </si>
  <si>
    <t>INV/2025/0017120117</t>
  </si>
  <si>
    <t>INV/2025/0017120118</t>
  </si>
  <si>
    <t>2025-12-15</t>
  </si>
  <si>
    <t>INV/2025/0017120119</t>
  </si>
  <si>
    <t xml:space="preserve">EMMA JAYA MOTOR SEMARANG</t>
  </si>
  <si>
    <t xml:space="preserve">SPX2 24X0.8 TD</t>
  </si>
  <si>
    <t xml:space="preserve">YAMALUBE SUPER MATIC 24X1 RB</t>
  </si>
  <si>
    <t>INV/2025/0017120120</t>
  </si>
  <si>
    <t xml:space="preserve">MESRANIA 2T OB 20X1 GN</t>
  </si>
  <si>
    <t>INV/2025/0017120122</t>
  </si>
  <si>
    <t xml:space="preserve">MEDITRAN SX 209L DRUM WIB</t>
  </si>
  <si>
    <t>INV/2025/0017120123</t>
  </si>
  <si>
    <t xml:space="preserve">QUELLE SAE 50 200L</t>
  </si>
  <si>
    <t>INV/2025/0017120124</t>
  </si>
  <si>
    <t>INV/2025/0017120125</t>
  </si>
  <si>
    <t>INV/2025/0017120126</t>
  </si>
  <si>
    <t xml:space="preserve">UCIK STAR AKI (JOGJA)</t>
  </si>
  <si>
    <t xml:space="preserve">ATF PORTONE POWER STEERING 20X300ML</t>
  </si>
  <si>
    <t xml:space="preserve">SHELL RIMULA R4X 3X5 SRY</t>
  </si>
  <si>
    <t xml:space="preserve">MEDITRAN SX 6X4 RB</t>
  </si>
  <si>
    <t>INV/2025/0017120127</t>
  </si>
  <si>
    <t xml:space="preserve">FUSO MINYAK REM DOT 3 24X0,3</t>
  </si>
  <si>
    <t xml:space="preserve">PRESTONE COOLANT 12X1</t>
  </si>
  <si>
    <t xml:space="preserve">VELG AKP 6.12MM</t>
  </si>
  <si>
    <t xml:space="preserve">TOP ONE COOLANT HIJAU 6X4 DT</t>
  </si>
  <si>
    <t xml:space="preserve">TOP ONE COOLANT MERAH 6X4 DT</t>
  </si>
  <si>
    <t xml:space="preserve">TURALIK 52 209L DRUM GNAN</t>
  </si>
  <si>
    <t>INV/2025/0017120128</t>
  </si>
  <si>
    <t xml:space="preserve">FAJAR BAN (SALATIGA)</t>
  </si>
  <si>
    <t>2025-12-17</t>
  </si>
  <si>
    <t>INV/2025/0017120129</t>
  </si>
  <si>
    <t>INV/2025/0017120130</t>
  </si>
  <si>
    <t xml:space="preserve">SHELL AX7 12X1 RB</t>
  </si>
  <si>
    <t>INV/2025/0017120131</t>
  </si>
  <si>
    <t xml:space="preserve">KARYA AGUNG BAROKAH (JEPARA)</t>
  </si>
  <si>
    <t>INV/2025/0017120132</t>
  </si>
  <si>
    <t xml:space="preserve">MESRAN SUPER 209L DRUM GMI</t>
  </si>
  <si>
    <t>2025-12-18</t>
  </si>
  <si>
    <t>INV/2025/0017120133</t>
  </si>
  <si>
    <t>INV/2025/0017120134</t>
  </si>
  <si>
    <t>INV/2025/0017120135</t>
  </si>
  <si>
    <t>INV/2025/0017120136</t>
  </si>
  <si>
    <t>INV/2025/0017120137</t>
  </si>
  <si>
    <t>INV/2025/0017120138</t>
  </si>
  <si>
    <t>INV/2025/0017120139</t>
  </si>
  <si>
    <t>INV/2025/0017120140</t>
  </si>
  <si>
    <t xml:space="preserve">BP. PUSPITA</t>
  </si>
  <si>
    <t>2025-11-26</t>
  </si>
  <si>
    <t>INV/2025/0017120141</t>
  </si>
  <si>
    <t xml:space="preserve">KINGPIN KT 12</t>
  </si>
  <si>
    <t xml:space="preserve">MASTER RADIATOR COOLANT HIJAU 12X1</t>
  </si>
  <si>
    <t>INV/2025/0017120142</t>
  </si>
  <si>
    <t>INV/2025/0017120143</t>
  </si>
  <si>
    <t xml:space="preserve">MEDITRAN SX PLUS 209L GNAN</t>
  </si>
  <si>
    <t xml:space="preserve">MEDITRAN S40 DRUM GN-AN</t>
  </si>
  <si>
    <t xml:space="preserve">MEDITRAN SXV 200L GMI</t>
  </si>
  <si>
    <t xml:space="preserve">MEDITRAN SV40 200L GMI</t>
  </si>
  <si>
    <t xml:space="preserve">GREASE SHELL GADUS S3 JG</t>
  </si>
  <si>
    <t>INV/2025/0017120144</t>
  </si>
  <si>
    <t>INV/2025/0017120145</t>
  </si>
  <si>
    <t xml:space="preserve">TURALIK V52 200L WIB</t>
  </si>
  <si>
    <t>INV/2025/0017120146</t>
  </si>
  <si>
    <t>INV/2025/0017120147</t>
  </si>
  <si>
    <t>INV/2025/0017120148</t>
  </si>
  <si>
    <t>INV/2025/0017120149</t>
  </si>
  <si>
    <t xml:space="preserve">BENGKEL BUBUT REJO MULYO, BAWEN</t>
  </si>
  <si>
    <t xml:space="preserve">T.V PBI 5.10MM OVAL</t>
  </si>
  <si>
    <t>2025-12-20</t>
  </si>
  <si>
    <t>INV/2025/0017120150</t>
  </si>
  <si>
    <t xml:space="preserve">MEDITRAN S40 209L MJK</t>
  </si>
  <si>
    <t xml:space="preserve">TURALIK 52 209L MJK</t>
  </si>
  <si>
    <t xml:space="preserve">MEDITRAN SC 209L MJK</t>
  </si>
  <si>
    <t xml:space="preserve">MEDITRAN SX 209L MJK</t>
  </si>
  <si>
    <t>INV/2025/0017120151</t>
  </si>
  <si>
    <t xml:space="preserve">KRISNA MOTOR (MAGELANG)</t>
  </si>
  <si>
    <t>INV/2025/0017120152</t>
  </si>
  <si>
    <t>INV/2025/0017120153</t>
  </si>
  <si>
    <t xml:space="preserve">GEAR SET NGT PS125 6X40</t>
  </si>
  <si>
    <t>INV/2025/0017120154</t>
  </si>
  <si>
    <t xml:space="preserve">MEDITRAN S40 209L DRUM GNB</t>
  </si>
  <si>
    <t>INV/2025/0017120155</t>
  </si>
  <si>
    <t>2025-12-21</t>
  </si>
  <si>
    <t>INV/2025/0017120156</t>
  </si>
  <si>
    <t xml:space="preserve">TRI JAYA MOTOR (KENDAL)</t>
  </si>
  <si>
    <t>INV/2025/0017120157</t>
  </si>
  <si>
    <t xml:space="preserve">RODA PERKASA (BATANG)</t>
  </si>
  <si>
    <t>INV/2025/0017120158</t>
  </si>
  <si>
    <t xml:space="preserve">MOSLEM BAN (PEMALANG)</t>
  </si>
  <si>
    <t>INV/2025/0017120159</t>
  </si>
  <si>
    <t xml:space="preserve">RAJAWALI MOTOR BATANG</t>
  </si>
  <si>
    <t>INV/2025/0017120160</t>
  </si>
  <si>
    <t xml:space="preserve">BAN AHM K59 A72 90/80 R14 DPN</t>
  </si>
  <si>
    <t>28%</t>
  </si>
  <si>
    <t xml:space="preserve">BAN AHM K59 A72 100/80 R14 BLKG</t>
  </si>
  <si>
    <t>2025-11-29</t>
  </si>
  <si>
    <t>INV/2025/0017120161</t>
  </si>
  <si>
    <t xml:space="preserve">BP SARITEM</t>
  </si>
  <si>
    <t>2025-12-22</t>
  </si>
  <si>
    <t>INV/2025/0017120162</t>
  </si>
  <si>
    <t xml:space="preserve">GANANG MOTOR, KLERO </t>
  </si>
  <si>
    <t>INV/2025/0017120163</t>
  </si>
  <si>
    <t xml:space="preserve">GARRET TURBO DUTRO 12V</t>
  </si>
  <si>
    <t>INV/2025/0017120164</t>
  </si>
  <si>
    <t>INV/2025/0017120165</t>
  </si>
  <si>
    <t xml:space="preserve">T.V CSRW 6.10MM OVAL</t>
  </si>
  <si>
    <t>INV/2025/0017120166</t>
  </si>
  <si>
    <t xml:space="preserve">UPSOL GREASE CG705 HITAM  14KG</t>
  </si>
  <si>
    <t xml:space="preserve">MEDITRAN SC 20X1 RB</t>
  </si>
  <si>
    <t xml:space="preserve">VELG TOPU 6.10MM (600X16) INTER COOLER BULAT</t>
  </si>
  <si>
    <t>INV/2025/0017120167</t>
  </si>
  <si>
    <t>INV/2025/0017120168</t>
  </si>
  <si>
    <t xml:space="preserve">SUMBER REJEKI BAN (DIKA SR , DEMAK )</t>
  </si>
  <si>
    <t>INV/2025/0017120169</t>
  </si>
  <si>
    <t xml:space="preserve">ANAK LANANG (KUDUS)</t>
  </si>
  <si>
    <t>INV/2025/0017120170</t>
  </si>
  <si>
    <t xml:space="preserve">QUELLE HD68 18L</t>
  </si>
  <si>
    <t>INV/2025/0017120171</t>
  </si>
  <si>
    <t>2025-12-24</t>
  </si>
  <si>
    <t>INV/2025/0017120172</t>
  </si>
  <si>
    <t>INV/2025/0017120173</t>
  </si>
  <si>
    <t xml:space="preserve">MESRAN B40 4X5 RB</t>
  </si>
  <si>
    <t xml:space="preserve">MESRAN SUPER 6X4 RB</t>
  </si>
  <si>
    <t xml:space="preserve">VELG TOPU 6.10MM OVAL</t>
  </si>
  <si>
    <t xml:space="preserve">VELG PBI MODIF ENGKEL PS/CANTER 6.10MM OVAL</t>
  </si>
  <si>
    <t>INV/2025/0017120174</t>
  </si>
  <si>
    <t xml:space="preserve">ANTOK MOTOR (AMBARAWA)</t>
  </si>
  <si>
    <t xml:space="preserve">MESRAN SUPER 6X4 GN</t>
  </si>
  <si>
    <t>INV/2025/0017120175</t>
  </si>
  <si>
    <t xml:space="preserve">MEDITRAN SX 209L GN-AN</t>
  </si>
  <si>
    <t xml:space="preserve">TURALIK 52 DRUM DT</t>
  </si>
  <si>
    <t xml:space="preserve">ROTARY MP PINK 15KG</t>
  </si>
  <si>
    <t xml:space="preserve">MASTER BEARING GREASE 24X1</t>
  </si>
  <si>
    <t xml:space="preserve">MEDITRAN SX 2X10 MJK</t>
  </si>
  <si>
    <t xml:space="preserve">MEDITRAN S40 4X5 MJK</t>
  </si>
  <si>
    <t xml:space="preserve">MASTER RADIATOR COOLANT MERAH 12X1</t>
  </si>
  <si>
    <t xml:space="preserve">ROTARY SILVER GREASE 15KG DT</t>
  </si>
  <si>
    <t>INV/2025/0017120176</t>
  </si>
  <si>
    <t xml:space="preserve">REPSOL GXR PLUS 10W40 5X4L</t>
  </si>
  <si>
    <t xml:space="preserve">REPSOL GXR PLATINUM 5W30 12X1</t>
  </si>
  <si>
    <t>2025-12-25</t>
  </si>
  <si>
    <t>INV/2025/0017120177</t>
  </si>
  <si>
    <t>2025-12-02</t>
  </si>
  <si>
    <t>INV/2025/0017120178</t>
  </si>
  <si>
    <t>INV/2025/0017120179</t>
  </si>
  <si>
    <t xml:space="preserve">VELG TOPU 5.10MM OVAL</t>
  </si>
  <si>
    <t>INV/2025/0017120180</t>
  </si>
  <si>
    <t>INV/2025/0017120181</t>
  </si>
  <si>
    <t>INV/2025/0017120182</t>
  </si>
  <si>
    <t xml:space="preserve">UPSOL IMPERO SX-2 2T 24X0.7ML</t>
  </si>
  <si>
    <t>INV/2025/0017120183</t>
  </si>
  <si>
    <t>INV/2025/0017120184</t>
  </si>
  <si>
    <t xml:space="preserve">RING VELG AKP</t>
  </si>
  <si>
    <t>INV/2025/0017120185</t>
  </si>
  <si>
    <t>INV/2025/0017120186</t>
  </si>
  <si>
    <t>GUDANG</t>
  </si>
  <si>
    <t>INV/2025/0017120187</t>
  </si>
  <si>
    <t>INV/2025/0017120188</t>
  </si>
  <si>
    <t xml:space="preserve">MANDIRI JAYA PURWODADI</t>
  </si>
  <si>
    <t>INV/2025/0017120189</t>
  </si>
  <si>
    <t>2025-12-26</t>
  </si>
  <si>
    <t>INV/2025/0017120190</t>
  </si>
  <si>
    <t xml:space="preserve">PEN PER PS PENDEK</t>
  </si>
  <si>
    <t>INV/2025/0017120191</t>
  </si>
  <si>
    <t xml:space="preserve">PAK ANTONI (PUPAY)</t>
  </si>
  <si>
    <t xml:space="preserve">SHELL HX5 4X4 RB</t>
  </si>
  <si>
    <t xml:space="preserve">TMO BENSIN 4X4 TD</t>
  </si>
  <si>
    <t xml:space="preserve">FASTRON TECHNO 10W40 6X4 TD</t>
  </si>
  <si>
    <t>INV/2025/0017120192</t>
  </si>
  <si>
    <t>2025-12-04</t>
  </si>
  <si>
    <t>INV/2025/0017120193</t>
  </si>
  <si>
    <t xml:space="preserve">BINTORO (DEMAK)</t>
  </si>
  <si>
    <t>2025-12-27</t>
  </si>
  <si>
    <t>INV/2025/0017120194</t>
  </si>
  <si>
    <t xml:space="preserve">BP. HANONGKO KUDUS</t>
  </si>
  <si>
    <t>INV/2025/0017120195</t>
  </si>
  <si>
    <t>INV/2025/0017120196</t>
  </si>
  <si>
    <t xml:space="preserve">QUELLE SAE 40 18L</t>
  </si>
  <si>
    <t xml:space="preserve">SHELL SPIRAX S2 12X1 PTM</t>
  </si>
  <si>
    <t xml:space="preserve">SHELL SPIRAX S5 12X1 PTM</t>
  </si>
  <si>
    <t>INV/2025/0017120197</t>
  </si>
  <si>
    <t>INV/2025/0017120198</t>
  </si>
  <si>
    <t xml:space="preserve">LINTANG MOTOR (BOJA)</t>
  </si>
  <si>
    <t>INV/2025/0017120199</t>
  </si>
  <si>
    <t>INV/2025/0017120200</t>
  </si>
  <si>
    <t>2025-12-28</t>
  </si>
  <si>
    <t>INV/2025/0017120201</t>
  </si>
  <si>
    <t xml:space="preserve">PT PUJA PERKASA (GODONG)</t>
  </si>
  <si>
    <t xml:space="preserve">MEDITRAN SC 209L GMI</t>
  </si>
  <si>
    <t>INV/2025/0017120202</t>
  </si>
  <si>
    <t>INV/2025/0017120203</t>
  </si>
  <si>
    <t>INV/2025/0017120204</t>
  </si>
  <si>
    <t xml:space="preserve">DELTALUBE MULTI SAE 40 20L</t>
  </si>
  <si>
    <t>INV/2025/0017120205</t>
  </si>
  <si>
    <t xml:space="preserve">MEDITRAN SX 209L DRUM GMI</t>
  </si>
  <si>
    <t>INV/2025/0017120206</t>
  </si>
  <si>
    <t>INV/2025/0017120207</t>
  </si>
  <si>
    <t xml:space="preserve">BU YULI (PEMALANG)</t>
  </si>
  <si>
    <t>INV/2025/0017120208</t>
  </si>
  <si>
    <t xml:space="preserve">AUTO REJEKI (BATANG)</t>
  </si>
  <si>
    <t xml:space="preserve">VELG TOPU 5.10MM BULAT</t>
  </si>
  <si>
    <t>INV/2025/0017120209</t>
  </si>
  <si>
    <t xml:space="preserve">HAIKAL MOTOR (BANYUPUTIH)</t>
  </si>
  <si>
    <t>INV/2025/0017120210</t>
  </si>
  <si>
    <t xml:space="preserve">MAXI GO BREAK FLUID 12X900 ml</t>
  </si>
  <si>
    <t>2025-12-29</t>
  </si>
  <si>
    <t>INV/2025/0017120211</t>
  </si>
  <si>
    <t xml:space="preserve">AMANDA (BEJI)</t>
  </si>
  <si>
    <t>35%</t>
  </si>
  <si>
    <t xml:space="preserve">GREENZOIL GTURBO 10W40 12X1</t>
  </si>
  <si>
    <t>25%</t>
  </si>
  <si>
    <t>2025-12-06</t>
  </si>
  <si>
    <t>INV/2025/0017120212</t>
  </si>
  <si>
    <t>INV/2025/0017120213</t>
  </si>
  <si>
    <t xml:space="preserve">MEDITRAN S40 20X1 TD</t>
  </si>
  <si>
    <t>INV/2025/0017120214</t>
  </si>
  <si>
    <t xml:space="preserve">UNIRACE HIDROLIK 68 200L</t>
  </si>
  <si>
    <t xml:space="preserve">T.V TOPU 6.10MM OVAL</t>
  </si>
  <si>
    <t>INV/2025/0017120215</t>
  </si>
  <si>
    <t>INV/2025/0017120216</t>
  </si>
  <si>
    <t xml:space="preserve">SATRIA, UNGARAN (GUN)</t>
  </si>
  <si>
    <t>2025-12-31</t>
  </si>
  <si>
    <t>INV/2025/0017120217</t>
  </si>
  <si>
    <t xml:space="preserve">DAROJI (BATANG)</t>
  </si>
  <si>
    <t>INV/2025/0017120218</t>
  </si>
  <si>
    <t>INV/2025/0017120219</t>
  </si>
  <si>
    <t>INV/2025/0017120220</t>
  </si>
  <si>
    <t>INV/2025/0017120221</t>
  </si>
  <si>
    <t>2025-12-09</t>
  </si>
  <si>
    <t>INV/2025/0017120222</t>
  </si>
  <si>
    <t>INV/2025/0017120223</t>
  </si>
  <si>
    <t xml:space="preserve">SUMBER KARYA PURWOREJO</t>
  </si>
  <si>
    <t>2026-01-01</t>
  </si>
  <si>
    <t>INV/2025/0017120224</t>
  </si>
  <si>
    <t>INV/2025/0017120225</t>
  </si>
  <si>
    <t>INV/2025/0017120226</t>
  </si>
  <si>
    <t xml:space="preserve">BP UDIN LEYANGAN</t>
  </si>
  <si>
    <t>INV/2025/0017120227</t>
  </si>
  <si>
    <t>2026-01-02</t>
  </si>
  <si>
    <t>INV/2025/0017120228</t>
  </si>
  <si>
    <t xml:space="preserve">PUTRA MANUNGGAL (KLERO)</t>
  </si>
  <si>
    <t>INV/2025/0017120229</t>
  </si>
  <si>
    <t xml:space="preserve">MANDIRI JAYA (BOYOLALI)</t>
  </si>
  <si>
    <t>INV/2025/0017120230</t>
  </si>
  <si>
    <t>INV/2025/0017120231</t>
  </si>
  <si>
    <t>11%</t>
  </si>
  <si>
    <t>INV/2025/0017120232</t>
  </si>
  <si>
    <t xml:space="preserve">SANY SINOPEX 15W40 18L </t>
  </si>
  <si>
    <t xml:space="preserve">SANY SINOPEX 80W90 18L </t>
  </si>
  <si>
    <t>INV/2025/0017120233</t>
  </si>
  <si>
    <t>INV/2025/0017120234</t>
  </si>
  <si>
    <t>INV/2025/0017120235</t>
  </si>
  <si>
    <t>INV/2025/0017120236</t>
  </si>
  <si>
    <t xml:space="preserve">MESRAN SUPER 209L DRUM BD</t>
  </si>
  <si>
    <t xml:space="preserve">MEDITRAN SX 2X10 TD</t>
  </si>
  <si>
    <t>2026-01-03</t>
  </si>
  <si>
    <t>INV/2025/0017120237</t>
  </si>
  <si>
    <t>INV/2025/0017120238</t>
  </si>
  <si>
    <t>INV/2025/0017120239</t>
  </si>
  <si>
    <t xml:space="preserve">SHELL HX6 12X1 SRY</t>
  </si>
  <si>
    <t xml:space="preserve">SHELL RIMU R4X 12X1 ORI</t>
  </si>
  <si>
    <t>7%</t>
  </si>
  <si>
    <t xml:space="preserve">RORED EPA 90 6X4 GN</t>
  </si>
  <si>
    <t>INV/2025/0017120240</t>
  </si>
  <si>
    <t xml:space="preserve">MESRAN B40 2X10 GN</t>
  </si>
  <si>
    <t>INV/2025/0017120241</t>
  </si>
  <si>
    <t xml:space="preserve">BENGKEL JAYA MRANGGEN</t>
  </si>
  <si>
    <t>INV/2025/0017120242</t>
  </si>
  <si>
    <t xml:space="preserve">LUKMAN MOTOR YES , DEMAK (GUN)</t>
  </si>
  <si>
    <t>INV/2025/0017120243</t>
  </si>
  <si>
    <t>INV/2025/0017120244</t>
  </si>
  <si>
    <t xml:space="preserve">SUMBER REZEKI MOTOR , DEMAK (GUN)</t>
  </si>
  <si>
    <t>INV/2025/0017120245</t>
  </si>
  <si>
    <t>INV/2025/0017120246</t>
  </si>
  <si>
    <t xml:space="preserve">MINAREX 200L BD</t>
  </si>
  <si>
    <t>INV/2025/0017120247</t>
  </si>
  <si>
    <t>INV/2025/0017120248</t>
  </si>
  <si>
    <t>2026-01-04</t>
  </si>
  <si>
    <t>INV/2025/0017120249</t>
  </si>
  <si>
    <t>INV/2025/0017120250</t>
  </si>
  <si>
    <t>INV/2025/0017120251</t>
  </si>
  <si>
    <t xml:space="preserve">MEKAR JAYA MOTOR, UNGARAN (HN)</t>
  </si>
  <si>
    <t>2026-01-05</t>
  </si>
  <si>
    <t>INV/2025/0017120252</t>
  </si>
  <si>
    <t xml:space="preserve">ARISA MOTOR (KAJEN)</t>
  </si>
  <si>
    <t>INV/2025/0017120253</t>
  </si>
  <si>
    <t xml:space="preserve">SINAR GEMILANG BATANG</t>
  </si>
  <si>
    <t>INV/2025/0017120254</t>
  </si>
  <si>
    <t xml:space="preserve">TOKO ANDA, BATANG (TIO)</t>
  </si>
  <si>
    <t>INV/2025/0017120255</t>
  </si>
  <si>
    <t>4%</t>
  </si>
  <si>
    <t>INV/2025/0017120256</t>
  </si>
  <si>
    <t>INV/2025/0017120257</t>
  </si>
  <si>
    <t xml:space="preserve">OZI MOTOR (BATANG)</t>
  </si>
  <si>
    <t xml:space="preserve">FEDERAL MATIC ECOMAXX 24X0.8 TD</t>
  </si>
  <si>
    <t>INV/2025/0017120258</t>
  </si>
  <si>
    <t>INV/2025/0017120259</t>
  </si>
  <si>
    <t>INV/2025/0017120260</t>
  </si>
  <si>
    <t xml:space="preserve">PT TRI CAKRA</t>
  </si>
  <si>
    <t>INV/2025/0017120261</t>
  </si>
  <si>
    <t xml:space="preserve">BP. JAFAR</t>
  </si>
  <si>
    <t>INV/2025/0017120262</t>
  </si>
  <si>
    <t xml:space="preserve">SHELLY MOTOR , AMBARAWA (HN)</t>
  </si>
  <si>
    <t xml:space="preserve">SHELL ECOPLUS 5W30 4x3 PTM</t>
  </si>
  <si>
    <t>INV/2025/0017120263</t>
  </si>
  <si>
    <t xml:space="preserve">SYIFA JAYA DEMAK</t>
  </si>
  <si>
    <t>INV/2025/0017120264</t>
  </si>
  <si>
    <t>INV/2025/0017120265</t>
  </si>
  <si>
    <t>INV/2025/0017120266</t>
  </si>
  <si>
    <t>2026-01-07</t>
  </si>
  <si>
    <t>INV/2025/0017120267</t>
  </si>
  <si>
    <t xml:space="preserve">SHELL RIMULA R4 PLUS 3X5 PTM</t>
  </si>
  <si>
    <t>INV/2025/0017120268</t>
  </si>
  <si>
    <t>INV/2025/0017120269</t>
  </si>
  <si>
    <t xml:space="preserve">SHELL AX5 12X1 RB</t>
  </si>
  <si>
    <t>2026-01-08</t>
  </si>
  <si>
    <t>INV/2025/0017120270</t>
  </si>
  <si>
    <t xml:space="preserve">GREENZOIL 20W50 200L</t>
  </si>
  <si>
    <t xml:space="preserve">GREENZOIL GPOWER ISO VG 90 20L </t>
  </si>
  <si>
    <t xml:space="preserve">GREENZOIL GPOWER ISO VG 140 20L</t>
  </si>
  <si>
    <t>INV/2025/0017120271</t>
  </si>
  <si>
    <t xml:space="preserve">KELAPA INDAH MOTOR, PATI (GUN)</t>
  </si>
  <si>
    <t>2026-02-07</t>
  </si>
  <si>
    <t>INV/2025/0017120272</t>
  </si>
  <si>
    <t xml:space="preserve">SINAR ABADI BAN, MRANGGEN (GUN)</t>
  </si>
  <si>
    <t>INV/2025/0017120273</t>
  </si>
  <si>
    <t>INV/2025/0017120274</t>
  </si>
  <si>
    <t xml:space="preserve">JAYA DIESEL, PATI (GUN)</t>
  </si>
  <si>
    <t>INV/2025/0017120275</t>
  </si>
  <si>
    <t xml:space="preserve">PANTURA REZEKI MOTOR, KUDUS (GUN)</t>
  </si>
  <si>
    <t>INV/2025/0017120276</t>
  </si>
  <si>
    <t>INV/2025/0017120277</t>
  </si>
  <si>
    <t>INV/2025/0017120278</t>
  </si>
  <si>
    <t xml:space="preserve">SHELL HX6 4X4 RB</t>
  </si>
  <si>
    <t>2026-01-09</t>
  </si>
  <si>
    <t>INV/2025/0017120279</t>
  </si>
  <si>
    <t xml:space="preserve">KONCO DEWE (SALATIGA)</t>
  </si>
  <si>
    <t>INV/2025/0017120280</t>
  </si>
  <si>
    <t xml:space="preserve">REPSOL DXR 8 15W40 5X4</t>
  </si>
  <si>
    <t>INV/2025/0017120281</t>
  </si>
  <si>
    <t xml:space="preserve">NOVA JAYA MOTOR, SEMARANG (GUN)</t>
  </si>
  <si>
    <t>INV/2025/0017120282</t>
  </si>
  <si>
    <t xml:space="preserve">BP GAPUK</t>
  </si>
  <si>
    <t>INV/2025/0017120283</t>
  </si>
  <si>
    <t xml:space="preserve">MANDIRI AUTO (KLATEN)</t>
  </si>
  <si>
    <t>INV/2025/0017120284</t>
  </si>
  <si>
    <t>INV/2025/0017120285</t>
  </si>
  <si>
    <t xml:space="preserve">OLI CURAH HIDROLIS 20L </t>
  </si>
  <si>
    <t xml:space="preserve">PHILEYA HYD PO9 PAIL</t>
  </si>
  <si>
    <t>INV/2025/0017120286</t>
  </si>
  <si>
    <t>2026-01-10</t>
  </si>
  <si>
    <t>INV/2025/0017120287</t>
  </si>
  <si>
    <t>INV/2025/0017120288</t>
  </si>
  <si>
    <t xml:space="preserve">ALIM JAYA MOTOR, JEPARA (GUN)</t>
  </si>
  <si>
    <t>INV/2025/0017120289</t>
  </si>
  <si>
    <t>INV/2025/0017120290</t>
  </si>
  <si>
    <t xml:space="preserve">SEDERHANA MOTOR (GOTRI,JEPARA)</t>
  </si>
  <si>
    <t>INV/2025/0017120291</t>
  </si>
  <si>
    <t xml:space="preserve">KRAJAN MOTOR, JEPARA (GUN)</t>
  </si>
  <si>
    <t>INV/2025/0017120292</t>
  </si>
  <si>
    <t xml:space="preserve">VELG CSRW 6.10MM BULAT</t>
  </si>
  <si>
    <t>INV/2025/0017120294</t>
  </si>
  <si>
    <t xml:space="preserve">WILDAN MOTOR, KLERO (HN)</t>
  </si>
  <si>
    <t xml:space="preserve">VELG TOPU NKR 5.10MM </t>
  </si>
  <si>
    <t xml:space="preserve">VELG INCOEE L300</t>
  </si>
  <si>
    <t>INV/2025/0017120295</t>
  </si>
  <si>
    <t xml:space="preserve">MPX1 24X1 RB</t>
  </si>
  <si>
    <t>INV/2025/0017120296</t>
  </si>
  <si>
    <t>INV/2025/0017120297</t>
  </si>
  <si>
    <t>6%</t>
  </si>
  <si>
    <t>INV/2025/0017120298</t>
  </si>
  <si>
    <t xml:space="preserve">DERMAGA OLI BATANG</t>
  </si>
  <si>
    <t>INV/2025/0017120299</t>
  </si>
  <si>
    <t xml:space="preserve">REJEKI MOTOR</t>
  </si>
  <si>
    <t>2026-01-25</t>
  </si>
  <si>
    <t>INV/2025/0017120300</t>
  </si>
  <si>
    <t xml:space="preserve">TAMURA MOTOR , PEKALONGAN (TIO)</t>
  </si>
  <si>
    <t>INV/2025/0017120301</t>
  </si>
  <si>
    <t xml:space="preserve">SHELL RIMULA R4X 209L ORI</t>
  </si>
  <si>
    <t>INV/2025/0017120302</t>
  </si>
  <si>
    <t>2026-01-11</t>
  </si>
  <si>
    <t>INV/2025/0017120303</t>
  </si>
  <si>
    <t>INV/2025/0017120304</t>
  </si>
  <si>
    <t xml:space="preserve">AFI (REMBANG)</t>
  </si>
  <si>
    <t xml:space="preserve">MEDITRAN SC 2X10 MJK</t>
  </si>
  <si>
    <t>INV/2025/0017120305</t>
  </si>
  <si>
    <t>INV/2025/0017120306</t>
  </si>
  <si>
    <t>INV/2025/0017120307</t>
  </si>
  <si>
    <t xml:space="preserve">BP. IMAM (UNGARAN)</t>
  </si>
  <si>
    <t>INV/2025/0017120308</t>
  </si>
  <si>
    <t xml:space="preserve">BP UDIN (UNGARAN)</t>
  </si>
  <si>
    <t>INV/2025/0017120309</t>
  </si>
  <si>
    <t xml:space="preserve">JAYA PUTRA, UNGARAN (HN)</t>
  </si>
  <si>
    <t xml:space="preserve">FASTRON ECO 0W20 6X3,5 GN</t>
  </si>
  <si>
    <t>2026-01-12</t>
  </si>
  <si>
    <t>INV/2025/0017120310</t>
  </si>
  <si>
    <t xml:space="preserve">HAMOZZ MOTOR, UNGARAN TIMUR (HN)</t>
  </si>
  <si>
    <t>INV/2025/0017120311</t>
  </si>
  <si>
    <t xml:space="preserve">SHELL HX3 4X4 ORI</t>
  </si>
  <si>
    <t>INV/2025/0017120312</t>
  </si>
  <si>
    <t xml:space="preserve">YAMALUBE SILVER 24X0.8 RB</t>
  </si>
  <si>
    <t xml:space="preserve">YAMALUBE SPORT 24X1 RB</t>
  </si>
  <si>
    <t xml:space="preserve">SHELL AX5 12X0.8  PTM</t>
  </si>
  <si>
    <t>INV/2025/0017120313</t>
  </si>
  <si>
    <t xml:space="preserve">SHELL AX5 12X1  PTM</t>
  </si>
  <si>
    <t xml:space="preserve">SHELL AX3 12X0.8  PTM</t>
  </si>
  <si>
    <t>INV/2025/0017120314</t>
  </si>
  <si>
    <t xml:space="preserve">UNIRACE GEAR 90 200L</t>
  </si>
  <si>
    <t>INV/2025/0017120315</t>
  </si>
  <si>
    <t>2026-01-14</t>
  </si>
  <si>
    <t>INV/2025/0017120316</t>
  </si>
  <si>
    <t xml:space="preserve">MAWAR GUNUNG MERGI</t>
  </si>
  <si>
    <t>INV/2025/0017120317</t>
  </si>
  <si>
    <t xml:space="preserve">BP. WAHYU</t>
  </si>
  <si>
    <t>2025-12-16</t>
  </si>
  <si>
    <t>2026-01-15</t>
  </si>
  <si>
    <t>INV/2025/0017120318</t>
  </si>
  <si>
    <t>INV/2025/0017120319</t>
  </si>
  <si>
    <t>INV/2025/0017120320</t>
  </si>
  <si>
    <t>2026-01-16</t>
  </si>
  <si>
    <t>INV/2025/0017120321</t>
  </si>
  <si>
    <t>INV/2025/0017120322</t>
  </si>
  <si>
    <t xml:space="preserve">MURAH MOTOR, PATI (GUN)</t>
  </si>
  <si>
    <t>INV/2025/0017120323</t>
  </si>
  <si>
    <t xml:space="preserve">MASTER RADIATOR COOLANT MERAH 6X4</t>
  </si>
  <si>
    <t>INV/2025/0017120324</t>
  </si>
  <si>
    <t xml:space="preserve">BENGKEL MOBIL SIDODADI, PATI (GUN)</t>
  </si>
  <si>
    <t>INV/2025/0017120326</t>
  </si>
  <si>
    <t xml:space="preserve">DKM MOTOR, TEMANGGUNG (HN)</t>
  </si>
  <si>
    <t>INV/2025/0017120327</t>
  </si>
  <si>
    <t xml:space="preserve">SINAR BERLIAN, BERGAS (HN)</t>
  </si>
  <si>
    <t>INV/2025/0017120328</t>
  </si>
  <si>
    <t xml:space="preserve">CENTRAL OLI, TEMANGGUNG (HN)</t>
  </si>
  <si>
    <t xml:space="preserve">QUELLE GEAR SAE 90 200L</t>
  </si>
  <si>
    <t>INV/2025/0017120329</t>
  </si>
  <si>
    <t>INV/2025/0017120330</t>
  </si>
  <si>
    <t xml:space="preserve">OMAH BAN, TEMANGGUNG (HN)</t>
  </si>
  <si>
    <t>INV/2025/0017120331</t>
  </si>
  <si>
    <t xml:space="preserve">MEDITRAN SX 209L KL</t>
  </si>
  <si>
    <t>INV/2025/0017120332</t>
  </si>
  <si>
    <t>INV/2025/0017120333</t>
  </si>
  <si>
    <t>INV/2025/0017120334</t>
  </si>
  <si>
    <t>2026-01-17</t>
  </si>
  <si>
    <t>INV/2025/0017120335</t>
  </si>
  <si>
    <t xml:space="preserve">AYU JAYA MOTOR, DEMAK (GUN)</t>
  </si>
  <si>
    <t>INV/2025/0017120336</t>
  </si>
  <si>
    <t xml:space="preserve">KEVIN JAYA MOTOR, DEMAK (GUN)</t>
  </si>
  <si>
    <t>INV/2025/0017120337</t>
  </si>
  <si>
    <t>INV/2025/0017120338</t>
  </si>
  <si>
    <t xml:space="preserve">MEKAR JAYA OLI, AMBARAWA (HN)</t>
  </si>
  <si>
    <t>5%</t>
  </si>
  <si>
    <t>INV/2025/0017120339</t>
  </si>
  <si>
    <t>INV/2025/0017120340</t>
  </si>
  <si>
    <t>INV/2025/0017120341</t>
  </si>
  <si>
    <t>2025-12-19</t>
  </si>
  <si>
    <t>INV/2025/0017120342</t>
  </si>
  <si>
    <t>INV/2025/0017120343</t>
  </si>
  <si>
    <t>INV/2025/0017120344</t>
  </si>
  <si>
    <t xml:space="preserve">MAS WILDAN</t>
  </si>
  <si>
    <t>INV/2025/0017120345</t>
  </si>
  <si>
    <t xml:space="preserve">RJM MOTOR, KUDUS (GUN)</t>
  </si>
  <si>
    <t>2026-01-18</t>
  </si>
  <si>
    <t>INV/2025/0017120346</t>
  </si>
  <si>
    <t xml:space="preserve">WIJAYA PUTRA MOTOR, DEMAK (GUN)</t>
  </si>
  <si>
    <t>2026-02-17</t>
  </si>
  <si>
    <t>INV/2025/0017120347</t>
  </si>
  <si>
    <t xml:space="preserve">CAKRA BUANA JAYA MOTOR, DEMAK (GUN)</t>
  </si>
  <si>
    <t>INV/2025/0017120348</t>
  </si>
  <si>
    <t>INV/2025/0017120349</t>
  </si>
  <si>
    <t>INV/2025/0017120350</t>
  </si>
  <si>
    <t xml:space="preserve">PERINTIS MUDA, PATI (GUN)</t>
  </si>
  <si>
    <t>INV/2025/0017120351</t>
  </si>
  <si>
    <t xml:space="preserve">GREASE PERTAMINA HITAM DRUM</t>
  </si>
  <si>
    <t>INV/2025/0017120352</t>
  </si>
  <si>
    <t>INV/2025/0017120353</t>
  </si>
  <si>
    <t>INV/2025/0017120354</t>
  </si>
  <si>
    <t xml:space="preserve">TURALIK 52 209L DRUM WIB</t>
  </si>
  <si>
    <t>2026-01-19</t>
  </si>
  <si>
    <t>INV/2025/0017120355</t>
  </si>
  <si>
    <t xml:space="preserve">TOKO JAYA BAN</t>
  </si>
  <si>
    <t>INV/2025/0017120356</t>
  </si>
  <si>
    <t xml:space="preserve">MANDIRI MOTOR (SUBAH)</t>
  </si>
  <si>
    <t>INV/2025/0017120357</t>
  </si>
  <si>
    <t xml:space="preserve">WIJAYA MOTOR (BATANG)</t>
  </si>
  <si>
    <t>INV/2025/0017120358</t>
  </si>
  <si>
    <t>INV/2025/0017120359</t>
  </si>
  <si>
    <t xml:space="preserve">RIZKI MOTOR (KAJEN)</t>
  </si>
  <si>
    <t>INV/2025/0017120360</t>
  </si>
  <si>
    <t>INV/2025/0017120361</t>
  </si>
  <si>
    <t>2026-02-18</t>
  </si>
  <si>
    <t>INV/2025/0017120362</t>
  </si>
  <si>
    <t xml:space="preserve">DAKIRIN JAYA MOTOR, GUNUNG PATI (GUN)</t>
  </si>
  <si>
    <t>INV/2025/0017120363</t>
  </si>
  <si>
    <t>INV/2025/0017120364</t>
  </si>
  <si>
    <t xml:space="preserve">AGUS MOTOR, KENDAL (GUN)</t>
  </si>
  <si>
    <t>INV/2025/0017120365</t>
  </si>
  <si>
    <t xml:space="preserve">LANGGENG MOTOR, BOJA (GUN)</t>
  </si>
  <si>
    <t>INV/2025/0017120366</t>
  </si>
  <si>
    <t xml:space="preserve">MESRAN B40 6X4 RB</t>
  </si>
  <si>
    <t>INV/2025/0017120367</t>
  </si>
  <si>
    <t>2026-01-21</t>
  </si>
  <si>
    <t>INV/2025/0017120368</t>
  </si>
  <si>
    <t>INV/2025/0017120369</t>
  </si>
  <si>
    <t>INV/2025/0017120370</t>
  </si>
  <si>
    <t>INV/2025/0017120371</t>
  </si>
  <si>
    <t xml:space="preserve">GUMILANG MOTOR, AMBARAWA (HN)</t>
  </si>
  <si>
    <t>INV/2025/0017120372</t>
  </si>
  <si>
    <t>INV/2025/0017120373</t>
  </si>
  <si>
    <t>INV/2025/0017120374</t>
  </si>
  <si>
    <t>2025-12-23</t>
  </si>
  <si>
    <t>2026-01-22</t>
  </si>
  <si>
    <t>INV/2025/0017120375</t>
  </si>
  <si>
    <t>INV/2025/0017120376</t>
  </si>
  <si>
    <t>INV/2025/0017120377</t>
  </si>
  <si>
    <t>INV/2025/0017120378</t>
  </si>
  <si>
    <t>INV/2025/0017120379</t>
  </si>
  <si>
    <t>INV/2025/0017120380</t>
  </si>
  <si>
    <t xml:space="preserve">VELG TOPU L8.800.14MM OVAL</t>
  </si>
  <si>
    <t>INV/2025/0017120381</t>
  </si>
  <si>
    <t xml:space="preserve">ALFA MOTOR (BREBES)</t>
  </si>
  <si>
    <t xml:space="preserve">MESRAN B40 2X10 RB</t>
  </si>
  <si>
    <t>INV/2025/0017120382</t>
  </si>
  <si>
    <t>INV/2025/0017120383</t>
  </si>
  <si>
    <t>2026-02-06</t>
  </si>
  <si>
    <t>INV/2025/0017120384</t>
  </si>
  <si>
    <t xml:space="preserve">DIAN MOTOR, PEKALONGAN (TIO)</t>
  </si>
  <si>
    <t>INV/2025/0017120385</t>
  </si>
  <si>
    <t xml:space="preserve">SUPERMAX GEAR SAE 90 200L</t>
  </si>
  <si>
    <t>INV/2025/0017120386</t>
  </si>
  <si>
    <t>INV/2025/0017120387</t>
  </si>
  <si>
    <t xml:space="preserve">GAYATRI TRANS , BAWEN (HN)</t>
  </si>
  <si>
    <t>INV/2025/0017120388</t>
  </si>
  <si>
    <t>INV/2025/0017120389</t>
  </si>
  <si>
    <t>INV/2025/0017120390</t>
  </si>
  <si>
    <t xml:space="preserve">ECSTAR 4T 20W50 24X0.8 RB</t>
  </si>
  <si>
    <t>2026-01-23</t>
  </si>
  <si>
    <t>INV/2025/0017120391</t>
  </si>
  <si>
    <t>INV/2025/0017120392</t>
  </si>
  <si>
    <t xml:space="preserve">KALLIS TIRTA MOTOR, KLATEN (HN)</t>
  </si>
  <si>
    <t>INV/2025/0017120393</t>
  </si>
  <si>
    <t>INV/2025/0017120394</t>
  </si>
  <si>
    <t>INV/2025/0017120395</t>
  </si>
  <si>
    <t>2026-02-24</t>
  </si>
  <si>
    <t>INV/2025/0017120396</t>
  </si>
  <si>
    <t>INV/2025/0017120397</t>
  </si>
  <si>
    <t>INV/2025/0017120398</t>
  </si>
  <si>
    <t>INV/2025/0017120399</t>
  </si>
  <si>
    <t>INV/2025/0017120400</t>
  </si>
  <si>
    <t>INV/2025/0017120401</t>
  </si>
  <si>
    <t>2026-01-26</t>
  </si>
  <si>
    <t>INV/2025/0017120402</t>
  </si>
  <si>
    <t>INV/2025/0017120403</t>
  </si>
  <si>
    <t>INV/2025/0017120404</t>
  </si>
  <si>
    <t>INV/2025/0017120405</t>
  </si>
  <si>
    <t>INV/2025/0017120406</t>
  </si>
  <si>
    <t>INV/2025/0017120407</t>
  </si>
  <si>
    <t xml:space="preserve">BAGAS, BEJI</t>
  </si>
  <si>
    <t xml:space="preserve">MOTUL 2T 510 12X1</t>
  </si>
  <si>
    <t>INV/2025/0017120408</t>
  </si>
  <si>
    <t xml:space="preserve">T.V TOPU 5.10MM OVAL</t>
  </si>
  <si>
    <t>INV/2025/0017120409</t>
  </si>
  <si>
    <t>INV/2025/0017120410</t>
  </si>
  <si>
    <t xml:space="preserve">REPSOL GXR 3 20W50 5X4L</t>
  </si>
  <si>
    <t>2026-01-28</t>
  </si>
  <si>
    <t>INV/2025/0017120411</t>
  </si>
  <si>
    <t xml:space="preserve">ANISA OLI, KUDUS (GUN)</t>
  </si>
  <si>
    <t>INV/2025/0017120412</t>
  </si>
  <si>
    <t xml:space="preserve">REPSOL DXR 8 15W40 12X1</t>
  </si>
  <si>
    <t xml:space="preserve">REPSOL DXR 8 15W40 5X5</t>
  </si>
  <si>
    <t xml:space="preserve">REPSOL GXR PLATINUM 5W30 5X4L</t>
  </si>
  <si>
    <t xml:space="preserve">REPSOL GXR5 10W40 5X4L</t>
  </si>
  <si>
    <t>INV/2025/0017120413</t>
  </si>
  <si>
    <t>INV/2025/0017120414</t>
  </si>
  <si>
    <t xml:space="preserve">ASMARA MOTOR, JEPARA (GUN)</t>
  </si>
  <si>
    <t>INV/2025/0017120415</t>
  </si>
  <si>
    <t xml:space="preserve">BAROKAH MOTOR, KUDUS (GUN)</t>
  </si>
  <si>
    <t>INV/2025/0017120416</t>
  </si>
  <si>
    <t xml:space="preserve">BP EDO BUBUT, DEMAK (GUN)</t>
  </si>
  <si>
    <t>INV/2025/0017120417</t>
  </si>
  <si>
    <t xml:space="preserve">TOREN BAUT DPN HT 15CM</t>
  </si>
  <si>
    <t xml:space="preserve">TOREN BAUT BLKG HT 25CM</t>
  </si>
  <si>
    <t>INV/2025/0017120418</t>
  </si>
  <si>
    <t xml:space="preserve">UNIRACE GEAR 140 200L</t>
  </si>
  <si>
    <t>INV/2025/0017120419</t>
  </si>
  <si>
    <t xml:space="preserve">ROTARY UNGU BEARING GREASE SYNTETIC</t>
  </si>
  <si>
    <t>INV/2025/0017120420</t>
  </si>
  <si>
    <t>INV/2025/0017120421</t>
  </si>
  <si>
    <t>2025-12-30</t>
  </si>
  <si>
    <t>INV/2025/0017120422</t>
  </si>
  <si>
    <t xml:space="preserve">PRIMA XP 10W40 6X4 GN</t>
  </si>
  <si>
    <t xml:space="preserve">MESRAN SUPER MOTOR 24X0.8 GN</t>
  </si>
  <si>
    <t>INV/2025/0017120423</t>
  </si>
  <si>
    <t xml:space="preserve">DEDY BAN AMBARAWA</t>
  </si>
  <si>
    <t>INV/2025/0017120424</t>
  </si>
  <si>
    <t xml:space="preserve">BP RENDI, KUDUS (GUN)</t>
  </si>
  <si>
    <t>INV/2025/0017120425</t>
  </si>
  <si>
    <t>INV/2025/0017120426</t>
  </si>
  <si>
    <t>2026-01-29</t>
  </si>
  <si>
    <t>INV/2025/0017120427</t>
  </si>
  <si>
    <t xml:space="preserve">GUNA BARU MOTOR (BATANG)</t>
  </si>
  <si>
    <t>INV/2025/0017120428</t>
  </si>
  <si>
    <t xml:space="preserve">CV. RAFINDO KANDEMAN, BATANG (TIO)</t>
  </si>
  <si>
    <t>INV/2025/0017120429</t>
  </si>
  <si>
    <t xml:space="preserve">BAGUS MOTOR (BATANG)</t>
  </si>
  <si>
    <t>INV/2025/0017120430</t>
  </si>
  <si>
    <t xml:space="preserve">FASTRON ECO 5W30 6x3,5 GN</t>
  </si>
  <si>
    <t>INV/2025/0017120431</t>
  </si>
  <si>
    <t xml:space="preserve">SEALER TREEBON KECIL</t>
  </si>
  <si>
    <t>INV/2025/0017120432</t>
  </si>
  <si>
    <t>INV/2025/0017120433</t>
  </si>
  <si>
    <t>INV/2025/0017120434</t>
  </si>
  <si>
    <t>INV/2025/0017120435</t>
  </si>
  <si>
    <t xml:space="preserve">KTB MANUAL TRANSMISSION SAE90 DRUM GN-AN</t>
  </si>
  <si>
    <t>INV/2025/0017120436</t>
  </si>
  <si>
    <t xml:space="preserve">MULYA MANDIRI MOTOR, KARANGJATI (HN)</t>
  </si>
  <si>
    <t>2024-01-20</t>
  </si>
  <si>
    <t>2025-01-01</t>
  </si>
  <si>
    <t>INV/2025/0018</t>
  </si>
  <si>
    <t xml:space="preserve">ALVIN MOTOR</t>
  </si>
  <si>
    <t>PIUTANG</t>
  </si>
  <si>
    <t>2024-12-27</t>
  </si>
  <si>
    <t>INV/2025/0019</t>
  </si>
  <si>
    <t>2024-12-18</t>
  </si>
  <si>
    <t>INV/2025/0020</t>
  </si>
  <si>
    <t>2025-09-10</t>
  </si>
  <si>
    <t>2025-10-10</t>
  </si>
  <si>
    <t>INV/2025/00200</t>
  </si>
  <si>
    <t xml:space="preserve">PAK NAZAR</t>
  </si>
  <si>
    <t>2024-12-19</t>
  </si>
  <si>
    <t>2025-01-18</t>
  </si>
  <si>
    <t>INV/2025/0021</t>
  </si>
  <si>
    <t>BURHAN</t>
  </si>
  <si>
    <t>2024-12-13</t>
  </si>
  <si>
    <t>2025-01-12</t>
  </si>
  <si>
    <t>INV/2025/0022</t>
  </si>
  <si>
    <t>2025-01-26</t>
  </si>
  <si>
    <t>INV/2025/0023</t>
  </si>
  <si>
    <t>2024-11-13</t>
  </si>
  <si>
    <t>INV/2025/0024</t>
  </si>
  <si>
    <t>2024-12-02</t>
  </si>
  <si>
    <t>2025-01-02</t>
  </si>
  <si>
    <t>INV/2025/0025</t>
  </si>
  <si>
    <t>2022-08-01</t>
  </si>
  <si>
    <t>INV/2025/0026</t>
  </si>
  <si>
    <t>2023-06-24</t>
  </si>
  <si>
    <t>2023-07-24</t>
  </si>
  <si>
    <t>INV/2025/0027</t>
  </si>
  <si>
    <t xml:space="preserve">RODA STAR</t>
  </si>
  <si>
    <t>2023-07-01</t>
  </si>
  <si>
    <t>2023-07-31</t>
  </si>
  <si>
    <t>INV/2025/0028</t>
  </si>
  <si>
    <t>DURDI</t>
  </si>
  <si>
    <t>INV/2025/0029</t>
  </si>
  <si>
    <t>2023-06-26</t>
  </si>
  <si>
    <t>2023-07-26</t>
  </si>
  <si>
    <t>INV/2025/0030</t>
  </si>
  <si>
    <t xml:space="preserve">BP ALAN BAWEN</t>
  </si>
  <si>
    <t>2023-10-10</t>
  </si>
  <si>
    <t>2023-11-09</t>
  </si>
  <si>
    <t>INV/2025/0031</t>
  </si>
  <si>
    <t>2022-01-01</t>
  </si>
  <si>
    <t>2022-01-31</t>
  </si>
  <si>
    <t>INV/2025/0032</t>
  </si>
  <si>
    <t xml:space="preserve">DUTA SELANG PEMALANG</t>
  </si>
  <si>
    <t>2023-04-28</t>
  </si>
  <si>
    <t>2023-05-28</t>
  </si>
  <si>
    <t>INV/2025/0033</t>
  </si>
  <si>
    <t xml:space="preserve">BAYU BRAHA</t>
  </si>
  <si>
    <t>2023-02-01</t>
  </si>
  <si>
    <t>2023-03-03</t>
  </si>
  <si>
    <t>INV/2025/0034</t>
  </si>
  <si>
    <t>RONAL</t>
  </si>
  <si>
    <t>2021-01-01</t>
  </si>
  <si>
    <t>2021-01-31</t>
  </si>
  <si>
    <t>INV/2025/0035</t>
  </si>
  <si>
    <t>JATMIKO</t>
  </si>
  <si>
    <t>2021-05-25</t>
  </si>
  <si>
    <t>2021-06-24</t>
  </si>
  <si>
    <t>INV/2025/0036</t>
  </si>
  <si>
    <t>AZZAM</t>
  </si>
  <si>
    <t>2021-02-01</t>
  </si>
  <si>
    <t>2021-03-03</t>
  </si>
  <si>
    <t>INV/2025/0037</t>
  </si>
  <si>
    <t xml:space="preserve">AGUNG INTI JAYA</t>
  </si>
  <si>
    <t>2021-11-01</t>
  </si>
  <si>
    <t>2021-12-01</t>
  </si>
  <si>
    <t>INV/2025/0038</t>
  </si>
  <si>
    <t>CAHYA</t>
  </si>
  <si>
    <t>2024-09-17</t>
  </si>
  <si>
    <t>INV/2025/0039</t>
  </si>
  <si>
    <t xml:space="preserve">MULYA BUDI (SALATIGA)</t>
  </si>
  <si>
    <t>2024-10-07</t>
  </si>
  <si>
    <t>INV/2025/0040</t>
  </si>
  <si>
    <t>2021-09-01</t>
  </si>
  <si>
    <t>2021-10-01</t>
  </si>
  <si>
    <t>INV/2025/0041</t>
  </si>
  <si>
    <t xml:space="preserve">IJUL MAGELANG</t>
  </si>
  <si>
    <t>2021-12-31</t>
  </si>
  <si>
    <t>INV/2025/0042</t>
  </si>
  <si>
    <t xml:space="preserve">NANO MOTOR</t>
  </si>
  <si>
    <t>2024-11-01</t>
  </si>
  <si>
    <t>INV/2025/0043</t>
  </si>
  <si>
    <t xml:space="preserve">PT MITRA PERMATA ABADI (PRINGAPUS)</t>
  </si>
  <si>
    <t>INV/2026/0001</t>
  </si>
  <si>
    <t>INV/2026/0002</t>
  </si>
  <si>
    <t xml:space="preserve">BP MAN SUKA MOTOR, JEPARA (GUN)</t>
  </si>
  <si>
    <t>2026-02-01</t>
  </si>
  <si>
    <t>INV/2026/0003</t>
  </si>
  <si>
    <t xml:space="preserve">TMO BENSIN 12X1 TD</t>
  </si>
  <si>
    <t>INV/2026/0004</t>
  </si>
  <si>
    <t xml:space="preserve">BP AHMAD SUTRISNO</t>
  </si>
  <si>
    <t>INV/2026/0005</t>
  </si>
  <si>
    <t xml:space="preserve">GIGIH SASONGKO, SEMARANG</t>
  </si>
  <si>
    <t>INV/2026/0006</t>
  </si>
  <si>
    <t xml:space="preserve">PAK JOKO (TERUNA)</t>
  </si>
  <si>
    <t>INV/2026/0007</t>
  </si>
  <si>
    <t>INV/2026/0008</t>
  </si>
  <si>
    <t>2026-02-02</t>
  </si>
  <si>
    <t>INV/2026/0009</t>
  </si>
  <si>
    <t>INV/2026/0010</t>
  </si>
  <si>
    <t xml:space="preserve">LANGGENG MOTOR, MRANGGEN (GUN)</t>
  </si>
  <si>
    <t>INV/2026/0011</t>
  </si>
  <si>
    <t>INV/2026/0012</t>
  </si>
  <si>
    <t>INV/2026/0013</t>
  </si>
  <si>
    <t>INV/2026/0014</t>
  </si>
  <si>
    <t xml:space="preserve">TURALIK T68 209L GN AN </t>
  </si>
  <si>
    <t>INV/2026/0015</t>
  </si>
  <si>
    <t>2026-02-04</t>
  </si>
  <si>
    <t>INV/2026/0016</t>
  </si>
  <si>
    <t xml:space="preserve">RORED EPA 140 DRUM GN-AN</t>
  </si>
  <si>
    <t>13%</t>
  </si>
  <si>
    <t>INV/2026/0017</t>
  </si>
  <si>
    <t>INV/2026/0018</t>
  </si>
  <si>
    <t>INV/2026/0019</t>
  </si>
  <si>
    <t>2026-01-06</t>
  </si>
  <si>
    <t>INV/2026/0020</t>
  </si>
  <si>
    <t>2026-02-05</t>
  </si>
  <si>
    <t>INV/2026/0021</t>
  </si>
  <si>
    <t xml:space="preserve">GREENZOIL GTURBO S MARINE 20W50 200L</t>
  </si>
  <si>
    <t>INV/2026/0022</t>
  </si>
  <si>
    <t xml:space="preserve">MEDITRAN SXV 200L SDQ</t>
  </si>
  <si>
    <t xml:space="preserve">PERTAMINA GEMUK SGX  16KG DT</t>
  </si>
  <si>
    <t>INV/2026/0023</t>
  </si>
  <si>
    <t>INV/2026/0024</t>
  </si>
  <si>
    <t>INV/2026/0025</t>
  </si>
  <si>
    <t>INV/2026/0026</t>
  </si>
  <si>
    <t>INV/2026/0027</t>
  </si>
  <si>
    <t>INV/2026/0028</t>
  </si>
  <si>
    <t>INV/2026/0029</t>
  </si>
  <si>
    <t>INV/2026/0030</t>
  </si>
  <si>
    <t>INV/2026/0031</t>
  </si>
  <si>
    <t>INV/2026/0032</t>
  </si>
  <si>
    <t xml:space="preserve">ADI JAYA PER, PATI (GUN)</t>
  </si>
  <si>
    <t xml:space="preserve">QUELLE GEAR SAE 90 18L</t>
  </si>
  <si>
    <t xml:space="preserve">QUELLE GEAR SAE 140 18L</t>
  </si>
  <si>
    <t>INV/2026/0033</t>
  </si>
  <si>
    <t>INV/2026/0034</t>
  </si>
  <si>
    <t>INV/2026/0035</t>
  </si>
  <si>
    <t xml:space="preserve">KARANGAN MOTOR, DEMAK (GUN)</t>
  </si>
  <si>
    <t>INV/2026/0036</t>
  </si>
  <si>
    <t xml:space="preserve">REPSOL GXR PLUS 10W40 12X1L</t>
  </si>
  <si>
    <t>INV/2026/0037</t>
  </si>
  <si>
    <t>INV/2026/0038</t>
  </si>
  <si>
    <t xml:space="preserve">AJI MOTOR, BANYUMANIK (GUN)</t>
  </si>
  <si>
    <t>INV/2026/0039</t>
  </si>
  <si>
    <t>INV/2026/0040</t>
  </si>
  <si>
    <t xml:space="preserve">UPSOL CHAMPION MATIC 12X0.8</t>
  </si>
  <si>
    <t>INV/2026/0041</t>
  </si>
  <si>
    <t>INV/2026/0042</t>
  </si>
  <si>
    <t xml:space="preserve">T.V AKP 6.12MM OVAL</t>
  </si>
  <si>
    <t>INV/2026/0043</t>
  </si>
  <si>
    <t xml:space="preserve">SHELL MELINA SAE30 DRUM KL</t>
  </si>
  <si>
    <t xml:space="preserve">PARAFIN 200L</t>
  </si>
  <si>
    <t xml:space="preserve">PHILEYA TRANSMISI ATF PAIL</t>
  </si>
  <si>
    <t>INV/2026/0044</t>
  </si>
  <si>
    <t xml:space="preserve">GREENZOIL GPOWER ISO VG 140 DRUM</t>
  </si>
  <si>
    <t xml:space="preserve">GREENZOIL GPOWER ISO VG 90 DRUM</t>
  </si>
  <si>
    <t xml:space="preserve">GREENZOIL GHYDRO VG 68 200L</t>
  </si>
  <si>
    <t xml:space="preserve">TURALIK V52 200L WIA</t>
  </si>
  <si>
    <t xml:space="preserve">QUELLE HYDRAULIC OIL ISO VG 68 20L</t>
  </si>
  <si>
    <t>INV/2026/0045</t>
  </si>
  <si>
    <t xml:space="preserve">RA DIESEL (SRAGEN)</t>
  </si>
  <si>
    <t xml:space="preserve">QUELLE HYDRAULIC OIL ISO VG 68 DRUM</t>
  </si>
  <si>
    <t>INV/2026/0046</t>
  </si>
  <si>
    <t xml:space="preserve">RORED HDA 90 DRUM GN-AN</t>
  </si>
  <si>
    <t>INV/2026/0047</t>
  </si>
  <si>
    <t xml:space="preserve">YAMALUBE GEAR 48X100ML RB</t>
  </si>
  <si>
    <t>INV/2026/0048</t>
  </si>
  <si>
    <t>INV/2026/0049</t>
  </si>
  <si>
    <t>INV/2026/0050</t>
  </si>
  <si>
    <t xml:space="preserve">EMA JAYA, GUNUNG PATI (GUN)</t>
  </si>
  <si>
    <t>2026-02-08</t>
  </si>
  <si>
    <t>INV/2026/0051</t>
  </si>
  <si>
    <t>INV/2026/0052</t>
  </si>
  <si>
    <t>INV/2026/0053</t>
  </si>
  <si>
    <t xml:space="preserve">PARI MOTOR MUNTILAN</t>
  </si>
  <si>
    <t xml:space="preserve">OLI CURAH HIDROLIS 68 BD</t>
  </si>
  <si>
    <t>INV/2026/0054</t>
  </si>
  <si>
    <t>INV/2026/0055</t>
  </si>
  <si>
    <t>INV/2026/0056</t>
  </si>
  <si>
    <t>2026-02-09</t>
  </si>
  <si>
    <t>INV/2026/0057</t>
  </si>
  <si>
    <t xml:space="preserve">SHELL RIMULA R4X 3X5 PTM</t>
  </si>
  <si>
    <t>INV/2026/0058</t>
  </si>
  <si>
    <t xml:space="preserve">REJEKI BAROKAH (PEMALANG)</t>
  </si>
  <si>
    <t>INV/2026/0059</t>
  </si>
  <si>
    <t xml:space="preserve">COKRO MOTOR (LIMPUNG)</t>
  </si>
  <si>
    <t xml:space="preserve">SHELL HX7 4X4 PTM</t>
  </si>
  <si>
    <t>2026-01-13</t>
  </si>
  <si>
    <t>INV/2026/0060</t>
  </si>
  <si>
    <t>INV/2026/0061</t>
  </si>
  <si>
    <t xml:space="preserve">KRISNA JAYA MOTOR, BATANG (TIO)</t>
  </si>
  <si>
    <t>INV/2026/0062</t>
  </si>
  <si>
    <t xml:space="preserve">BERSAMA MOTOR, BATANG (TIO)</t>
  </si>
  <si>
    <t>INV/2026/0063</t>
  </si>
  <si>
    <t>INV/2026/0064</t>
  </si>
  <si>
    <t>INV/2026/0065</t>
  </si>
  <si>
    <t>INV/2026/0066</t>
  </si>
  <si>
    <t xml:space="preserve">MEDITRAN 40 DRUM GN-AN</t>
  </si>
  <si>
    <t>INV/2026/0067</t>
  </si>
  <si>
    <t xml:space="preserve">BP. SUPRI</t>
  </si>
  <si>
    <t>INV/2026/0068</t>
  </si>
  <si>
    <t>INV/2026/0069</t>
  </si>
  <si>
    <t xml:space="preserve">SHELL HX3 12X1 PTM</t>
  </si>
  <si>
    <t xml:space="preserve">SHELL HX5 12X1 PTM</t>
  </si>
  <si>
    <t xml:space="preserve">SHELL HX6 12X1 PTM</t>
  </si>
  <si>
    <t>INV/2026/0070</t>
  </si>
  <si>
    <t xml:space="preserve">RIMULA R2 3X5 PTM</t>
  </si>
  <si>
    <t>INV/2026/0071</t>
  </si>
  <si>
    <t>INV/2026/0072</t>
  </si>
  <si>
    <t xml:space="preserve">BP HAJI SADI, KRAGAN (GUN)</t>
  </si>
  <si>
    <t>INV/2026/0073</t>
  </si>
  <si>
    <t xml:space="preserve">SEGEL PERTAMINA</t>
  </si>
  <si>
    <t>INV/2026/0074</t>
  </si>
  <si>
    <t>INV/2026/0075</t>
  </si>
  <si>
    <t>INV/2026/0076</t>
  </si>
  <si>
    <t>INV/2026/0077</t>
  </si>
  <si>
    <t xml:space="preserve">AGUNG JAYA MOTOR, MRANGGEN (GUN)</t>
  </si>
  <si>
    <t>INV/2026/0078</t>
  </si>
  <si>
    <t xml:space="preserve">DAFFA VARIASI , JEPARA (GUN)</t>
  </si>
  <si>
    <t>INV/2026/0079</t>
  </si>
  <si>
    <t>INV/2026/0080</t>
  </si>
  <si>
    <t>2026-02-11</t>
  </si>
  <si>
    <t>INV/2026/0081</t>
  </si>
  <si>
    <t xml:space="preserve">AGUNG JAYA MOTOR, JEPARA (GUN)</t>
  </si>
  <si>
    <t xml:space="preserve">SHELL HX3 12X1 ORI</t>
  </si>
  <si>
    <t>INV/2026/0082</t>
  </si>
  <si>
    <t>INV/2026/0083</t>
  </si>
  <si>
    <t>INV/2026/0084</t>
  </si>
  <si>
    <t>INV/2026/0085</t>
  </si>
  <si>
    <t>INV/2026/0086</t>
  </si>
  <si>
    <t>INV/2026/0087</t>
  </si>
  <si>
    <t>2026-02-12</t>
  </si>
  <si>
    <t>INV/2026/0088</t>
  </si>
  <si>
    <t>INV/2026/0089</t>
  </si>
  <si>
    <t>INV/2026/0090</t>
  </si>
  <si>
    <t>2026-01-20</t>
  </si>
  <si>
    <t>INV/2026/0091</t>
  </si>
  <si>
    <t>INV/2026/0092</t>
  </si>
  <si>
    <t>INV/2026/0093</t>
  </si>
  <si>
    <t>INV/2026/0094</t>
  </si>
  <si>
    <t>INV/2026/0095</t>
  </si>
  <si>
    <t xml:space="preserve">MEDITRAN SC 209L WIB</t>
  </si>
  <si>
    <t>INV/2026/0096</t>
  </si>
  <si>
    <t xml:space="preserve">BP RUDI, BOJA</t>
  </si>
  <si>
    <t>INV/2026/0097</t>
  </si>
  <si>
    <t>INV/2026/0098</t>
  </si>
  <si>
    <t>INV/2026/0099</t>
  </si>
  <si>
    <t>INV/2026/0100</t>
  </si>
  <si>
    <t xml:space="preserve">MEDITRAN SC 209L TRN</t>
  </si>
  <si>
    <t>2026-02-13</t>
  </si>
  <si>
    <t>INV/2026/0101</t>
  </si>
  <si>
    <t xml:space="preserve">ABID JAYA MOTOR, JEPARA (GUN)</t>
  </si>
  <si>
    <t>INV/2026/0102</t>
  </si>
  <si>
    <t>INV/2026/0103</t>
  </si>
  <si>
    <t>INV/2026/0104</t>
  </si>
  <si>
    <t xml:space="preserve">TEGUH MOTOR, SALATIGA (HN)</t>
  </si>
  <si>
    <t>INV/2026/0105</t>
  </si>
  <si>
    <t xml:space="preserve">SHELL HX6 12X1 RB</t>
  </si>
  <si>
    <t>INV/2026/0106</t>
  </si>
  <si>
    <t>INV/2026/0107</t>
  </si>
  <si>
    <t>2026-03-01</t>
  </si>
  <si>
    <t>INV/2026/0108</t>
  </si>
  <si>
    <t xml:space="preserve">LEO MOTOR, BATANG (TIO)</t>
  </si>
  <si>
    <t>2026-02-14</t>
  </si>
  <si>
    <t>INV/2026/0109</t>
  </si>
  <si>
    <t xml:space="preserve">SOMAD MOTOR (BATANG)</t>
  </si>
  <si>
    <t>INV/2026/0110</t>
  </si>
  <si>
    <t xml:space="preserve">TOKO PUTRI TUNGGAL, BATANG (TIO)</t>
  </si>
  <si>
    <t>INV/2026/0111</t>
  </si>
  <si>
    <t xml:space="preserve">BENGKEL PAK ABU (KAJEN)</t>
  </si>
  <si>
    <t>INV/2026/0112</t>
  </si>
  <si>
    <t>INV/2026/0113</t>
  </si>
  <si>
    <t>INV/2026/0114</t>
  </si>
  <si>
    <t>INV/2026/0115</t>
  </si>
  <si>
    <t xml:space="preserve">BP. IRMAN UNGARAN</t>
  </si>
  <si>
    <t>2026-02-16</t>
  </si>
  <si>
    <t>INV/2026/0116</t>
  </si>
  <si>
    <t>INV/2026/0117</t>
  </si>
  <si>
    <t>INV/2026/0118</t>
  </si>
  <si>
    <t>2026-01-24</t>
  </si>
  <si>
    <t>INV/2026/0119</t>
  </si>
  <si>
    <t>INV/2026/0120</t>
  </si>
  <si>
    <t>INV/2026/0121</t>
  </si>
  <si>
    <t>INV/2026/0122</t>
  </si>
  <si>
    <t>INV/2026/0123</t>
  </si>
  <si>
    <t xml:space="preserve">RIMS CABERG MOTOR, BANDUNGAN (HN)</t>
  </si>
  <si>
    <t>2026-01-31</t>
  </si>
  <si>
    <t>INV/2026/0124</t>
  </si>
  <si>
    <t xml:space="preserve">SUMBER LUMAS, SETIABUDI (GUN)</t>
  </si>
  <si>
    <t>INV/2026/0125</t>
  </si>
  <si>
    <t>INV/2026/0126</t>
  </si>
  <si>
    <t>INV/2026/0127</t>
  </si>
  <si>
    <t>INV/2026/0128</t>
  </si>
  <si>
    <t>INV/2026/0129</t>
  </si>
  <si>
    <t xml:space="preserve">MESRAN 40 20X1 GN</t>
  </si>
  <si>
    <t>INV/2026/0130</t>
  </si>
  <si>
    <t>INV/2026/0131</t>
  </si>
  <si>
    <t xml:space="preserve">UD. PUTRA MATURI, KUDUS (GUN)</t>
  </si>
  <si>
    <t>INV/2026/0132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</si>
</sst>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 vertical="center"/>
    </xf>
    <xf fontId="0" fillId="0" borderId="0" numFmtId="1" xfId="0" applyNumberFormat="1" applyAlignment="1">
      <alignment horizontal="center" vertical="center"/>
    </xf>
    <xf fontId="0" fillId="0" borderId="0" numFmtId="0" xfId="0" applyAlignment="1">
      <alignment horizontal="center"/>
    </xf>
    <xf fontId="0" fillId="0" borderId="0" numFmtId="1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640625"/>
    <col bestFit="1" min="2" max="2" width="10.57421875"/>
    <col bestFit="1" min="3" max="3" width="20.3515625"/>
    <col bestFit="1" min="4" max="4" width="8.00390625"/>
    <col bestFit="1" min="5" max="5" width="38.78125"/>
    <col bestFit="1" min="6" max="6" width="8.00390625"/>
    <col bestFit="1" min="7" max="7" width="11.57421875"/>
    <col bestFit="1" min="8" max="8" width="10.640625"/>
    <col bestFit="1" min="9" max="9" width="45.3515625"/>
    <col bestFit="1" min="10" max="10" width="7.78125"/>
    <col bestFit="1" min="11" max="11" width="7.8515625"/>
    <col bestFit="1" min="12" max="12" width="10.3515625"/>
    <col bestFit="1" min="13" max="13" width="11.921875"/>
    <col bestFit="1" min="14" max="14" width="17.78125"/>
    <col bestFit="1" min="15" max="15" width="10.3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2" t="s">
        <v>13</v>
      </c>
    </row>
    <row r="2" ht="14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0</v>
      </c>
      <c r="H2" s="4">
        <v>4600000</v>
      </c>
      <c r="I2" s="3" t="s">
        <v>20</v>
      </c>
      <c r="J2" s="4">
        <v>1</v>
      </c>
      <c r="K2" s="3" t="s">
        <v>21</v>
      </c>
      <c r="L2" s="4">
        <v>4600000</v>
      </c>
      <c r="M2" s="1">
        <f>O2*J2*K2</f>
        <v>0</v>
      </c>
      <c r="N2" s="3"/>
      <c r="O2" s="2">
        <f>L2/J2*(1-K2)</f>
        <v>4600000</v>
      </c>
    </row>
    <row r="3" ht="14.25">
      <c r="A3" s="3" t="s">
        <v>14</v>
      </c>
      <c r="B3" s="3" t="s">
        <v>15</v>
      </c>
      <c r="C3" s="3" t="s">
        <v>22</v>
      </c>
      <c r="D3" s="3" t="s">
        <v>17</v>
      </c>
      <c r="E3" s="3" t="s">
        <v>23</v>
      </c>
      <c r="F3" s="3" t="s">
        <v>19</v>
      </c>
      <c r="G3" s="4">
        <v>0</v>
      </c>
      <c r="H3" s="4">
        <v>550000</v>
      </c>
      <c r="I3" s="3" t="s">
        <v>24</v>
      </c>
      <c r="J3" s="4">
        <v>1</v>
      </c>
      <c r="K3" s="3" t="s">
        <v>21</v>
      </c>
      <c r="L3" s="4">
        <v>550000</v>
      </c>
      <c r="M3" s="1">
        <f>O3*J3*K3</f>
        <v>0</v>
      </c>
      <c r="N3" s="3"/>
      <c r="O3" s="2">
        <f>L3/J3*(1-K3)</f>
        <v>550000</v>
      </c>
    </row>
    <row r="4" ht="14.25">
      <c r="A4" s="3" t="s">
        <v>25</v>
      </c>
      <c r="B4" s="3" t="s">
        <v>26</v>
      </c>
      <c r="C4" s="3" t="s">
        <v>27</v>
      </c>
      <c r="D4" s="3" t="s">
        <v>17</v>
      </c>
      <c r="E4" s="3" t="s">
        <v>28</v>
      </c>
      <c r="F4" s="3" t="s">
        <v>19</v>
      </c>
      <c r="G4" s="4">
        <v>0</v>
      </c>
      <c r="H4" s="4">
        <v>485000</v>
      </c>
      <c r="I4" s="3" t="s">
        <v>29</v>
      </c>
      <c r="J4" s="4">
        <v>1</v>
      </c>
      <c r="K4" s="3" t="s">
        <v>21</v>
      </c>
      <c r="L4" s="4">
        <v>485000</v>
      </c>
      <c r="M4" s="1">
        <f>O4*J4*K4</f>
        <v>0</v>
      </c>
      <c r="N4" s="3"/>
      <c r="O4" s="2">
        <f>L4/J4*(1-K4)</f>
        <v>485000</v>
      </c>
    </row>
    <row r="5" ht="14.25">
      <c r="A5" s="3" t="s">
        <v>25</v>
      </c>
      <c r="B5" s="3" t="s">
        <v>26</v>
      </c>
      <c r="C5" s="3" t="s">
        <v>30</v>
      </c>
      <c r="D5" s="3" t="s">
        <v>17</v>
      </c>
      <c r="E5" s="3" t="s">
        <v>31</v>
      </c>
      <c r="F5" s="3" t="s">
        <v>19</v>
      </c>
      <c r="G5" s="4">
        <v>0</v>
      </c>
      <c r="H5" s="4">
        <v>588000</v>
      </c>
      <c r="I5" s="3" t="s">
        <v>32</v>
      </c>
      <c r="J5" s="4">
        <v>24</v>
      </c>
      <c r="K5" s="3" t="s">
        <v>21</v>
      </c>
      <c r="L5" s="4">
        <v>588000</v>
      </c>
      <c r="M5" s="1">
        <f>O5*J5*K5</f>
        <v>0</v>
      </c>
      <c r="N5" s="3"/>
      <c r="O5" s="2">
        <f>L5/J5*(1-K5)</f>
        <v>24500</v>
      </c>
    </row>
    <row r="6" ht="14.25">
      <c r="A6" s="3" t="s">
        <v>25</v>
      </c>
      <c r="B6" s="3" t="s">
        <v>26</v>
      </c>
      <c r="C6" s="3" t="s">
        <v>33</v>
      </c>
      <c r="D6" s="3" t="s">
        <v>17</v>
      </c>
      <c r="E6" s="3" t="s">
        <v>34</v>
      </c>
      <c r="F6" s="3" t="s">
        <v>19</v>
      </c>
      <c r="G6" s="4">
        <v>0</v>
      </c>
      <c r="H6" s="4">
        <v>17114136</v>
      </c>
      <c r="I6" s="3" t="s">
        <v>35</v>
      </c>
      <c r="J6" s="4">
        <v>2</v>
      </c>
      <c r="K6" s="3" t="s">
        <v>21</v>
      </c>
      <c r="L6" s="4">
        <v>7100000</v>
      </c>
      <c r="M6" s="1">
        <f>O6*J6*K6</f>
        <v>0</v>
      </c>
      <c r="N6" s="3"/>
      <c r="O6" s="2">
        <f>L6/J6*(1-K6)</f>
        <v>3550000</v>
      </c>
    </row>
    <row r="7" ht="14.25">
      <c r="A7" s="3" t="s">
        <v>25</v>
      </c>
      <c r="B7" s="3" t="s">
        <v>26</v>
      </c>
      <c r="C7" s="3" t="s">
        <v>33</v>
      </c>
      <c r="D7" s="3" t="s">
        <v>17</v>
      </c>
      <c r="E7" s="3" t="s">
        <v>34</v>
      </c>
      <c r="F7" s="3" t="s">
        <v>19</v>
      </c>
      <c r="G7" s="4">
        <v>0</v>
      </c>
      <c r="H7" s="4">
        <v>17114136</v>
      </c>
      <c r="I7" s="3" t="s">
        <v>36</v>
      </c>
      <c r="J7" s="4">
        <v>28</v>
      </c>
      <c r="K7" s="3" t="s">
        <v>21</v>
      </c>
      <c r="L7" s="4">
        <v>5087600</v>
      </c>
      <c r="M7" s="1">
        <f>O7*J7*K7</f>
        <v>0</v>
      </c>
      <c r="N7" s="3"/>
      <c r="O7" s="2">
        <f>L7/J7*(1-K7)</f>
        <v>181700</v>
      </c>
    </row>
    <row r="8" ht="14.25">
      <c r="A8" s="3" t="s">
        <v>25</v>
      </c>
      <c r="B8" s="3" t="s">
        <v>26</v>
      </c>
      <c r="C8" s="3" t="s">
        <v>33</v>
      </c>
      <c r="D8" s="3" t="s">
        <v>17</v>
      </c>
      <c r="E8" s="3" t="s">
        <v>34</v>
      </c>
      <c r="F8" s="3" t="s">
        <v>19</v>
      </c>
      <c r="G8" s="4">
        <v>0</v>
      </c>
      <c r="H8" s="4">
        <v>17114136</v>
      </c>
      <c r="I8" s="3" t="s">
        <v>37</v>
      </c>
      <c r="J8" s="4">
        <v>36</v>
      </c>
      <c r="K8" s="3" t="s">
        <v>21</v>
      </c>
      <c r="L8" s="4">
        <v>792000</v>
      </c>
      <c r="M8" s="1">
        <f>O8*J8*K8</f>
        <v>0</v>
      </c>
      <c r="N8" s="3"/>
      <c r="O8" s="2">
        <f>L8/J8*(1-K8)</f>
        <v>22000</v>
      </c>
    </row>
    <row r="9" ht="14.25">
      <c r="A9" s="3" t="s">
        <v>25</v>
      </c>
      <c r="B9" s="3" t="s">
        <v>26</v>
      </c>
      <c r="C9" s="3" t="s">
        <v>33</v>
      </c>
      <c r="D9" s="3" t="s">
        <v>17</v>
      </c>
      <c r="E9" s="3" t="s">
        <v>34</v>
      </c>
      <c r="F9" s="3" t="s">
        <v>19</v>
      </c>
      <c r="G9" s="4">
        <v>0</v>
      </c>
      <c r="H9" s="4">
        <v>17114136</v>
      </c>
      <c r="I9" s="3" t="s">
        <v>38</v>
      </c>
      <c r="J9" s="4">
        <v>6</v>
      </c>
      <c r="K9" s="3" t="s">
        <v>21</v>
      </c>
      <c r="L9" s="4">
        <v>934536</v>
      </c>
      <c r="M9" s="1">
        <f>O9*J9*K9</f>
        <v>0</v>
      </c>
      <c r="N9" s="3"/>
      <c r="O9" s="2">
        <f>L9/J9*(1-K9)</f>
        <v>155756</v>
      </c>
    </row>
    <row r="10" ht="14.25">
      <c r="A10" s="3" t="s">
        <v>25</v>
      </c>
      <c r="B10" s="3" t="s">
        <v>26</v>
      </c>
      <c r="C10" s="3" t="s">
        <v>33</v>
      </c>
      <c r="D10" s="3" t="s">
        <v>17</v>
      </c>
      <c r="E10" s="3" t="s">
        <v>34</v>
      </c>
      <c r="F10" s="3" t="s">
        <v>19</v>
      </c>
      <c r="G10" s="4">
        <v>0</v>
      </c>
      <c r="H10" s="4">
        <v>17114136</v>
      </c>
      <c r="I10" s="3" t="s">
        <v>39</v>
      </c>
      <c r="J10" s="4">
        <v>1</v>
      </c>
      <c r="K10" s="3" t="s">
        <v>21</v>
      </c>
      <c r="L10" s="4">
        <v>3200000</v>
      </c>
      <c r="M10" s="1">
        <f>O10*J10*K10</f>
        <v>0</v>
      </c>
      <c r="N10" s="3"/>
      <c r="O10" s="2">
        <f>L10/J10*(1-K10)</f>
        <v>3200000</v>
      </c>
    </row>
    <row r="11" ht="14.25">
      <c r="A11" s="3" t="s">
        <v>40</v>
      </c>
      <c r="B11" s="3" t="s">
        <v>41</v>
      </c>
      <c r="C11" s="3" t="s">
        <v>42</v>
      </c>
      <c r="D11" s="3" t="s">
        <v>17</v>
      </c>
      <c r="E11" s="3" t="s">
        <v>43</v>
      </c>
      <c r="F11" s="3" t="s">
        <v>19</v>
      </c>
      <c r="G11" s="4">
        <v>0</v>
      </c>
      <c r="H11" s="4">
        <v>8108040</v>
      </c>
      <c r="I11" s="3" t="s">
        <v>44</v>
      </c>
      <c r="J11" s="4">
        <v>48</v>
      </c>
      <c r="K11" s="3" t="s">
        <v>21</v>
      </c>
      <c r="L11" s="4">
        <v>1536000</v>
      </c>
      <c r="M11" s="1">
        <f>O11*J11*K11</f>
        <v>0</v>
      </c>
      <c r="N11" s="3"/>
      <c r="O11" s="2">
        <f>L11/J11*(1-K11)</f>
        <v>32000</v>
      </c>
    </row>
    <row r="12" ht="14.25">
      <c r="A12" s="3" t="s">
        <v>40</v>
      </c>
      <c r="B12" s="3" t="s">
        <v>41</v>
      </c>
      <c r="C12" s="3" t="s">
        <v>42</v>
      </c>
      <c r="D12" s="3" t="s">
        <v>17</v>
      </c>
      <c r="E12" s="3" t="s">
        <v>43</v>
      </c>
      <c r="F12" s="3" t="s">
        <v>19</v>
      </c>
      <c r="G12" s="4">
        <v>0</v>
      </c>
      <c r="H12" s="4">
        <v>8108040</v>
      </c>
      <c r="I12" s="3" t="s">
        <v>45</v>
      </c>
      <c r="J12" s="4">
        <v>72</v>
      </c>
      <c r="K12" s="3" t="s">
        <v>21</v>
      </c>
      <c r="L12" s="4">
        <v>2304000</v>
      </c>
      <c r="M12" s="1">
        <f>O12*J12*K12</f>
        <v>0</v>
      </c>
      <c r="N12" s="3"/>
      <c r="O12" s="2">
        <f>L12/J12*(1-K12)</f>
        <v>32000</v>
      </c>
    </row>
    <row r="13" ht="14.25">
      <c r="A13" s="3" t="s">
        <v>40</v>
      </c>
      <c r="B13" s="3" t="s">
        <v>41</v>
      </c>
      <c r="C13" s="3" t="s">
        <v>42</v>
      </c>
      <c r="D13" s="3" t="s">
        <v>17</v>
      </c>
      <c r="E13" s="3" t="s">
        <v>43</v>
      </c>
      <c r="F13" s="3" t="s">
        <v>19</v>
      </c>
      <c r="G13" s="4">
        <v>0</v>
      </c>
      <c r="H13" s="4">
        <v>8108040</v>
      </c>
      <c r="I13" s="3" t="s">
        <v>46</v>
      </c>
      <c r="J13" s="4">
        <v>24</v>
      </c>
      <c r="K13" s="3" t="s">
        <v>21</v>
      </c>
      <c r="L13" s="4">
        <v>850008</v>
      </c>
      <c r="M13" s="1">
        <f>O13*J13*K13</f>
        <v>0</v>
      </c>
      <c r="N13" s="3"/>
      <c r="O13" s="2">
        <f>L13/J13*(1-K13)</f>
        <v>35417</v>
      </c>
    </row>
    <row r="14" ht="14.25">
      <c r="A14" s="3" t="s">
        <v>40</v>
      </c>
      <c r="B14" s="3" t="s">
        <v>41</v>
      </c>
      <c r="C14" s="3" t="s">
        <v>42</v>
      </c>
      <c r="D14" s="3" t="s">
        <v>17</v>
      </c>
      <c r="E14" s="3" t="s">
        <v>43</v>
      </c>
      <c r="F14" s="3" t="s">
        <v>19</v>
      </c>
      <c r="G14" s="4">
        <v>0</v>
      </c>
      <c r="H14" s="4">
        <v>8108040</v>
      </c>
      <c r="I14" s="3" t="s">
        <v>47</v>
      </c>
      <c r="J14" s="4">
        <v>72</v>
      </c>
      <c r="K14" s="3" t="s">
        <v>21</v>
      </c>
      <c r="L14" s="4">
        <v>2688048</v>
      </c>
      <c r="M14" s="1">
        <f>O14*J14*K14</f>
        <v>0</v>
      </c>
      <c r="N14" s="3"/>
      <c r="O14" s="2">
        <f>L14/J14*(1-K14)</f>
        <v>37334</v>
      </c>
    </row>
    <row r="15" ht="14.25">
      <c r="A15" s="3" t="s">
        <v>40</v>
      </c>
      <c r="B15" s="3" t="s">
        <v>41</v>
      </c>
      <c r="C15" s="3" t="s">
        <v>42</v>
      </c>
      <c r="D15" s="3" t="s">
        <v>17</v>
      </c>
      <c r="E15" s="3" t="s">
        <v>43</v>
      </c>
      <c r="F15" s="3" t="s">
        <v>19</v>
      </c>
      <c r="G15" s="4">
        <v>0</v>
      </c>
      <c r="H15" s="4">
        <v>8108040</v>
      </c>
      <c r="I15" s="3" t="s">
        <v>48</v>
      </c>
      <c r="J15" s="4">
        <v>24</v>
      </c>
      <c r="K15" s="3" t="s">
        <v>21</v>
      </c>
      <c r="L15" s="4">
        <v>729984</v>
      </c>
      <c r="M15" s="1">
        <f>O15*J15*K15</f>
        <v>0</v>
      </c>
      <c r="N15" s="3"/>
      <c r="O15" s="2">
        <f>L15/J15*(1-K15)</f>
        <v>30416</v>
      </c>
    </row>
    <row r="16" ht="14.25">
      <c r="A16" s="3" t="s">
        <v>40</v>
      </c>
      <c r="B16" s="3" t="s">
        <v>41</v>
      </c>
      <c r="C16" s="3" t="s">
        <v>49</v>
      </c>
      <c r="D16" s="3" t="s">
        <v>17</v>
      </c>
      <c r="E16" s="3" t="s">
        <v>50</v>
      </c>
      <c r="F16" s="3" t="s">
        <v>19</v>
      </c>
      <c r="G16" s="4">
        <v>0</v>
      </c>
      <c r="H16" s="4">
        <v>5760000</v>
      </c>
      <c r="I16" s="3" t="s">
        <v>51</v>
      </c>
      <c r="J16" s="4">
        <v>9</v>
      </c>
      <c r="K16" s="3" t="s">
        <v>21</v>
      </c>
      <c r="L16" s="4">
        <v>5760000</v>
      </c>
      <c r="M16" s="1">
        <f>O16*J16*K16</f>
        <v>0</v>
      </c>
      <c r="N16" s="3"/>
      <c r="O16" s="2">
        <f>L16/J16*(1-K16)</f>
        <v>640000</v>
      </c>
    </row>
    <row r="17" ht="14.25">
      <c r="A17" s="3" t="s">
        <v>40</v>
      </c>
      <c r="B17" s="3" t="s">
        <v>41</v>
      </c>
      <c r="C17" s="3" t="s">
        <v>52</v>
      </c>
      <c r="D17" s="3" t="s">
        <v>17</v>
      </c>
      <c r="E17" s="3" t="s">
        <v>53</v>
      </c>
      <c r="F17" s="3" t="s">
        <v>19</v>
      </c>
      <c r="G17" s="4">
        <v>0</v>
      </c>
      <c r="H17" s="4">
        <v>4943704</v>
      </c>
      <c r="I17" s="3" t="s">
        <v>54</v>
      </c>
      <c r="J17" s="4">
        <v>2</v>
      </c>
      <c r="K17" s="3" t="s">
        <v>21</v>
      </c>
      <c r="L17" s="4">
        <v>834048</v>
      </c>
      <c r="M17" s="1">
        <f>O17*J17*K17</f>
        <v>0</v>
      </c>
      <c r="N17" s="3"/>
      <c r="O17" s="2">
        <f>L17/J17*(1-K17)</f>
        <v>417024</v>
      </c>
    </row>
    <row r="18" ht="14.25">
      <c r="A18" s="3" t="s">
        <v>40</v>
      </c>
      <c r="B18" s="3" t="s">
        <v>41</v>
      </c>
      <c r="C18" s="3" t="s">
        <v>52</v>
      </c>
      <c r="D18" s="3" t="s">
        <v>17</v>
      </c>
      <c r="E18" s="3" t="s">
        <v>53</v>
      </c>
      <c r="F18" s="3" t="s">
        <v>19</v>
      </c>
      <c r="G18" s="4">
        <v>0</v>
      </c>
      <c r="H18" s="4">
        <v>4943704</v>
      </c>
      <c r="I18" s="3" t="s">
        <v>55</v>
      </c>
      <c r="J18" s="4">
        <v>4</v>
      </c>
      <c r="K18" s="3" t="s">
        <v>21</v>
      </c>
      <c r="L18" s="4">
        <v>847488</v>
      </c>
      <c r="M18" s="1">
        <f>O18*J18*K18</f>
        <v>0</v>
      </c>
      <c r="N18" s="3"/>
      <c r="O18" s="2">
        <f>L18/J18*(1-K18)</f>
        <v>211872</v>
      </c>
    </row>
    <row r="19" ht="14.25">
      <c r="A19" s="3" t="s">
        <v>40</v>
      </c>
      <c r="B19" s="3" t="s">
        <v>41</v>
      </c>
      <c r="C19" s="3" t="s">
        <v>52</v>
      </c>
      <c r="D19" s="3" t="s">
        <v>17</v>
      </c>
      <c r="E19" s="3" t="s">
        <v>53</v>
      </c>
      <c r="F19" s="3" t="s">
        <v>19</v>
      </c>
      <c r="G19" s="4">
        <v>0</v>
      </c>
      <c r="H19" s="4">
        <v>4943704</v>
      </c>
      <c r="I19" s="3" t="s">
        <v>38</v>
      </c>
      <c r="J19" s="4">
        <v>6</v>
      </c>
      <c r="K19" s="3" t="s">
        <v>21</v>
      </c>
      <c r="L19" s="4">
        <v>975168</v>
      </c>
      <c r="M19" s="1">
        <f>O19*J19*K19</f>
        <v>0</v>
      </c>
      <c r="N19" s="3"/>
      <c r="O19" s="2">
        <f>L19/J19*(1-K19)</f>
        <v>162528</v>
      </c>
    </row>
    <row r="20" ht="14.25">
      <c r="A20" s="3" t="s">
        <v>40</v>
      </c>
      <c r="B20" s="3" t="s">
        <v>41</v>
      </c>
      <c r="C20" s="3" t="s">
        <v>52</v>
      </c>
      <c r="D20" s="3" t="s">
        <v>17</v>
      </c>
      <c r="E20" s="3" t="s">
        <v>53</v>
      </c>
      <c r="F20" s="3" t="s">
        <v>19</v>
      </c>
      <c r="G20" s="4">
        <v>0</v>
      </c>
      <c r="H20" s="4">
        <v>4943704</v>
      </c>
      <c r="I20" s="3" t="s">
        <v>56</v>
      </c>
      <c r="J20" s="4">
        <v>8</v>
      </c>
      <c r="K20" s="3" t="s">
        <v>21</v>
      </c>
      <c r="L20" s="4">
        <v>1240000</v>
      </c>
      <c r="M20" s="1">
        <f>O20*J20*K20</f>
        <v>0</v>
      </c>
      <c r="N20" s="3"/>
      <c r="O20" s="2">
        <f>L20/J20*(1-K20)</f>
        <v>155000</v>
      </c>
    </row>
    <row r="21" ht="14.25">
      <c r="A21" s="3" t="s">
        <v>40</v>
      </c>
      <c r="B21" s="3" t="s">
        <v>41</v>
      </c>
      <c r="C21" s="3" t="s">
        <v>52</v>
      </c>
      <c r="D21" s="3" t="s">
        <v>17</v>
      </c>
      <c r="E21" s="3" t="s">
        <v>53</v>
      </c>
      <c r="F21" s="3" t="s">
        <v>19</v>
      </c>
      <c r="G21" s="4">
        <v>0</v>
      </c>
      <c r="H21" s="4">
        <v>4943704</v>
      </c>
      <c r="I21" s="3" t="s">
        <v>57</v>
      </c>
      <c r="J21" s="4">
        <v>24</v>
      </c>
      <c r="K21" s="3" t="s">
        <v>21</v>
      </c>
      <c r="L21" s="4">
        <v>552000</v>
      </c>
      <c r="M21" s="1">
        <f>O21*J21*K21</f>
        <v>0</v>
      </c>
      <c r="N21" s="3"/>
      <c r="O21" s="2">
        <f>L21/J21*(1-K21)</f>
        <v>23000</v>
      </c>
    </row>
    <row r="22" ht="14.25">
      <c r="A22" s="3" t="s">
        <v>40</v>
      </c>
      <c r="B22" s="3" t="s">
        <v>41</v>
      </c>
      <c r="C22" s="3" t="s">
        <v>52</v>
      </c>
      <c r="D22" s="3" t="s">
        <v>17</v>
      </c>
      <c r="E22" s="3" t="s">
        <v>53</v>
      </c>
      <c r="F22" s="3" t="s">
        <v>19</v>
      </c>
      <c r="G22" s="4">
        <v>0</v>
      </c>
      <c r="H22" s="4">
        <v>4943704</v>
      </c>
      <c r="I22" s="3" t="s">
        <v>58</v>
      </c>
      <c r="J22" s="4">
        <v>1</v>
      </c>
      <c r="K22" s="3" t="s">
        <v>21</v>
      </c>
      <c r="L22" s="4">
        <v>495000</v>
      </c>
      <c r="M22" s="1">
        <f>O22*J22*K22</f>
        <v>0</v>
      </c>
      <c r="N22" s="3"/>
      <c r="O22" s="2">
        <f>L22/J22*(1-K22)</f>
        <v>495000</v>
      </c>
    </row>
    <row r="23" ht="14.25">
      <c r="A23" s="3" t="s">
        <v>40</v>
      </c>
      <c r="B23" s="3" t="s">
        <v>41</v>
      </c>
      <c r="C23" s="3" t="s">
        <v>59</v>
      </c>
      <c r="D23" s="3" t="s">
        <v>17</v>
      </c>
      <c r="E23" s="3" t="s">
        <v>60</v>
      </c>
      <c r="F23" s="3" t="s">
        <v>19</v>
      </c>
      <c r="G23" s="4">
        <v>0</v>
      </c>
      <c r="H23" s="4">
        <v>15300000</v>
      </c>
      <c r="I23" s="3" t="s">
        <v>61</v>
      </c>
      <c r="J23" s="4">
        <v>3</v>
      </c>
      <c r="K23" s="3" t="s">
        <v>21</v>
      </c>
      <c r="L23" s="4">
        <v>15300000</v>
      </c>
      <c r="M23" s="1">
        <f>O23*J23*K23</f>
        <v>0</v>
      </c>
      <c r="N23" s="3"/>
      <c r="O23" s="2">
        <f>L23/J23*(1-K23)</f>
        <v>5100000</v>
      </c>
    </row>
    <row r="24" ht="14.25">
      <c r="A24" s="3" t="s">
        <v>40</v>
      </c>
      <c r="B24" s="3" t="s">
        <v>41</v>
      </c>
      <c r="C24" s="3" t="s">
        <v>62</v>
      </c>
      <c r="D24" s="3" t="s">
        <v>17</v>
      </c>
      <c r="E24" s="3" t="s">
        <v>63</v>
      </c>
      <c r="F24" s="3" t="s">
        <v>19</v>
      </c>
      <c r="G24" s="4">
        <v>0</v>
      </c>
      <c r="H24" s="4">
        <v>12950000</v>
      </c>
      <c r="I24" s="3" t="s">
        <v>61</v>
      </c>
      <c r="J24" s="4">
        <v>1</v>
      </c>
      <c r="K24" s="3" t="s">
        <v>21</v>
      </c>
      <c r="L24" s="4">
        <v>5500000</v>
      </c>
      <c r="M24" s="1">
        <f>O24*J24*K24</f>
        <v>0</v>
      </c>
      <c r="N24" s="3"/>
      <c r="O24" s="2">
        <f>L24/J24*(1-K24)</f>
        <v>5500000</v>
      </c>
    </row>
    <row r="25" ht="14.25">
      <c r="A25" s="3" t="s">
        <v>40</v>
      </c>
      <c r="B25" s="3" t="s">
        <v>41</v>
      </c>
      <c r="C25" s="3" t="s">
        <v>62</v>
      </c>
      <c r="D25" s="3" t="s">
        <v>17</v>
      </c>
      <c r="E25" s="3" t="s">
        <v>63</v>
      </c>
      <c r="F25" s="3" t="s">
        <v>19</v>
      </c>
      <c r="G25" s="4">
        <v>0</v>
      </c>
      <c r="H25" s="4">
        <v>12950000</v>
      </c>
      <c r="I25" s="3" t="s">
        <v>64</v>
      </c>
      <c r="J25" s="4">
        <v>3</v>
      </c>
      <c r="K25" s="3" t="s">
        <v>21</v>
      </c>
      <c r="L25" s="4">
        <v>1980000</v>
      </c>
      <c r="M25" s="1">
        <f>O25*J25*K25</f>
        <v>0</v>
      </c>
      <c r="N25" s="3"/>
      <c r="O25" s="2">
        <f>L25/J25*(1-K25)</f>
        <v>660000</v>
      </c>
    </row>
    <row r="26" ht="14.25">
      <c r="A26" s="3" t="s">
        <v>40</v>
      </c>
      <c r="B26" s="3" t="s">
        <v>41</v>
      </c>
      <c r="C26" s="3" t="s">
        <v>62</v>
      </c>
      <c r="D26" s="3" t="s">
        <v>17</v>
      </c>
      <c r="E26" s="3" t="s">
        <v>63</v>
      </c>
      <c r="F26" s="3" t="s">
        <v>19</v>
      </c>
      <c r="G26" s="4">
        <v>0</v>
      </c>
      <c r="H26" s="4">
        <v>12950000</v>
      </c>
      <c r="I26" s="3" t="s">
        <v>65</v>
      </c>
      <c r="J26" s="4">
        <v>1</v>
      </c>
      <c r="K26" s="3" t="s">
        <v>21</v>
      </c>
      <c r="L26" s="4">
        <v>640000</v>
      </c>
      <c r="M26" s="1">
        <f>O26*J26*K26</f>
        <v>0</v>
      </c>
      <c r="N26" s="3"/>
      <c r="O26" s="2">
        <f>L26/J26*(1-K26)</f>
        <v>640000</v>
      </c>
    </row>
    <row r="27" ht="14.25">
      <c r="A27" s="3" t="s">
        <v>40</v>
      </c>
      <c r="B27" s="3" t="s">
        <v>41</v>
      </c>
      <c r="C27" s="3" t="s">
        <v>62</v>
      </c>
      <c r="D27" s="3" t="s">
        <v>17</v>
      </c>
      <c r="E27" s="3" t="s">
        <v>63</v>
      </c>
      <c r="F27" s="3" t="s">
        <v>19</v>
      </c>
      <c r="G27" s="4">
        <v>0</v>
      </c>
      <c r="H27" s="4">
        <v>12950000</v>
      </c>
      <c r="I27" s="3" t="s">
        <v>66</v>
      </c>
      <c r="J27" s="4">
        <v>4</v>
      </c>
      <c r="K27" s="3" t="s">
        <v>21</v>
      </c>
      <c r="L27" s="4">
        <v>1728000</v>
      </c>
      <c r="M27" s="1">
        <f>O27*J27*K27</f>
        <v>0</v>
      </c>
      <c r="N27" s="3"/>
      <c r="O27" s="2">
        <f>L27/J27*(1-K27)</f>
        <v>432000</v>
      </c>
    </row>
    <row r="28" ht="14.25">
      <c r="A28" s="3" t="s">
        <v>40</v>
      </c>
      <c r="B28" s="3" t="s">
        <v>41</v>
      </c>
      <c r="C28" s="3" t="s">
        <v>62</v>
      </c>
      <c r="D28" s="3" t="s">
        <v>17</v>
      </c>
      <c r="E28" s="3" t="s">
        <v>63</v>
      </c>
      <c r="F28" s="3" t="s">
        <v>19</v>
      </c>
      <c r="G28" s="4">
        <v>0</v>
      </c>
      <c r="H28" s="4">
        <v>12950000</v>
      </c>
      <c r="I28" s="3" t="s">
        <v>67</v>
      </c>
      <c r="J28" s="4">
        <v>2</v>
      </c>
      <c r="K28" s="3" t="s">
        <v>21</v>
      </c>
      <c r="L28" s="4">
        <v>754000</v>
      </c>
      <c r="M28" s="1">
        <f>O28*J28*K28</f>
        <v>0</v>
      </c>
      <c r="N28" s="3"/>
      <c r="O28" s="2">
        <f>L28/J28*(1-K28)</f>
        <v>377000</v>
      </c>
    </row>
    <row r="29" ht="14.25">
      <c r="A29" s="3" t="s">
        <v>40</v>
      </c>
      <c r="B29" s="3" t="s">
        <v>41</v>
      </c>
      <c r="C29" s="3" t="s">
        <v>62</v>
      </c>
      <c r="D29" s="3" t="s">
        <v>17</v>
      </c>
      <c r="E29" s="3" t="s">
        <v>63</v>
      </c>
      <c r="F29" s="3" t="s">
        <v>19</v>
      </c>
      <c r="G29" s="4">
        <v>0</v>
      </c>
      <c r="H29" s="4">
        <v>12950000</v>
      </c>
      <c r="I29" s="3" t="s">
        <v>68</v>
      </c>
      <c r="J29" s="4">
        <v>20</v>
      </c>
      <c r="K29" s="3" t="s">
        <v>21</v>
      </c>
      <c r="L29" s="4">
        <v>840000</v>
      </c>
      <c r="M29" s="1">
        <f>O29*J29*K29</f>
        <v>0</v>
      </c>
      <c r="N29" s="3"/>
      <c r="O29" s="2">
        <f>L29/J29*(1-K29)</f>
        <v>42000</v>
      </c>
    </row>
    <row r="30" ht="14.25">
      <c r="A30" s="3" t="s">
        <v>40</v>
      </c>
      <c r="B30" s="3" t="s">
        <v>41</v>
      </c>
      <c r="C30" s="3" t="s">
        <v>62</v>
      </c>
      <c r="D30" s="3" t="s">
        <v>17</v>
      </c>
      <c r="E30" s="3" t="s">
        <v>63</v>
      </c>
      <c r="F30" s="3" t="s">
        <v>19</v>
      </c>
      <c r="G30" s="4">
        <v>0</v>
      </c>
      <c r="H30" s="4">
        <v>12950000</v>
      </c>
      <c r="I30" s="3" t="s">
        <v>69</v>
      </c>
      <c r="J30" s="4">
        <v>4</v>
      </c>
      <c r="K30" s="3" t="s">
        <v>21</v>
      </c>
      <c r="L30" s="4">
        <v>1508000</v>
      </c>
      <c r="M30" s="1">
        <f>O30*J30*K30</f>
        <v>0</v>
      </c>
      <c r="N30" s="3"/>
      <c r="O30" s="2">
        <f>L30/J30*(1-K30)</f>
        <v>377000</v>
      </c>
    </row>
    <row r="31" ht="14.25">
      <c r="A31" s="3" t="s">
        <v>40</v>
      </c>
      <c r="B31" s="3" t="s">
        <v>41</v>
      </c>
      <c r="C31" s="3" t="s">
        <v>70</v>
      </c>
      <c r="D31" s="3" t="s">
        <v>17</v>
      </c>
      <c r="E31" s="3" t="s">
        <v>71</v>
      </c>
      <c r="F31" s="3" t="s">
        <v>19</v>
      </c>
      <c r="G31" s="4">
        <v>0</v>
      </c>
      <c r="H31" s="4">
        <v>10660000</v>
      </c>
      <c r="I31" s="3" t="s">
        <v>39</v>
      </c>
      <c r="J31" s="4">
        <v>1</v>
      </c>
      <c r="K31" s="3" t="s">
        <v>21</v>
      </c>
      <c r="L31" s="4">
        <v>3800000</v>
      </c>
      <c r="M31" s="1">
        <f>O31*J31*K31</f>
        <v>0</v>
      </c>
      <c r="N31" s="3"/>
      <c r="O31" s="2">
        <f>L31/J31*(1-K31)</f>
        <v>3800000</v>
      </c>
    </row>
    <row r="32" ht="14.25">
      <c r="A32" s="3" t="s">
        <v>40</v>
      </c>
      <c r="B32" s="3" t="s">
        <v>41</v>
      </c>
      <c r="C32" s="3" t="s">
        <v>70</v>
      </c>
      <c r="D32" s="3" t="s">
        <v>17</v>
      </c>
      <c r="E32" s="3" t="s">
        <v>71</v>
      </c>
      <c r="F32" s="3" t="s">
        <v>19</v>
      </c>
      <c r="G32" s="4">
        <v>0</v>
      </c>
      <c r="H32" s="4">
        <v>10660000</v>
      </c>
      <c r="I32" s="3" t="s">
        <v>29</v>
      </c>
      <c r="J32" s="4">
        <v>6</v>
      </c>
      <c r="K32" s="3" t="s">
        <v>21</v>
      </c>
      <c r="L32" s="4">
        <v>3000000</v>
      </c>
      <c r="M32" s="1">
        <f>O32*J32*K32</f>
        <v>0</v>
      </c>
      <c r="N32" s="3"/>
      <c r="O32" s="2">
        <f>L32/J32*(1-K32)</f>
        <v>500000</v>
      </c>
    </row>
    <row r="33" ht="14.25">
      <c r="A33" s="3" t="s">
        <v>40</v>
      </c>
      <c r="B33" s="3" t="s">
        <v>41</v>
      </c>
      <c r="C33" s="3" t="s">
        <v>70</v>
      </c>
      <c r="D33" s="3" t="s">
        <v>17</v>
      </c>
      <c r="E33" s="3" t="s">
        <v>71</v>
      </c>
      <c r="F33" s="3" t="s">
        <v>19</v>
      </c>
      <c r="G33" s="4">
        <v>0</v>
      </c>
      <c r="H33" s="4">
        <v>10660000</v>
      </c>
      <c r="I33" s="3" t="s">
        <v>51</v>
      </c>
      <c r="J33" s="4">
        <v>5</v>
      </c>
      <c r="K33" s="3" t="s">
        <v>21</v>
      </c>
      <c r="L33" s="4">
        <v>3200000</v>
      </c>
      <c r="M33" s="1">
        <f>O33*J33*K33</f>
        <v>0</v>
      </c>
      <c r="N33" s="3"/>
      <c r="O33" s="2">
        <f>L33/J33*(1-K33)</f>
        <v>640000</v>
      </c>
    </row>
    <row r="34" ht="14.25">
      <c r="A34" s="3" t="s">
        <v>40</v>
      </c>
      <c r="B34" s="3" t="s">
        <v>41</v>
      </c>
      <c r="C34" s="3" t="s">
        <v>70</v>
      </c>
      <c r="D34" s="3" t="s">
        <v>17</v>
      </c>
      <c r="E34" s="3" t="s">
        <v>71</v>
      </c>
      <c r="F34" s="3" t="s">
        <v>19</v>
      </c>
      <c r="G34" s="4">
        <v>0</v>
      </c>
      <c r="H34" s="4">
        <v>10660000</v>
      </c>
      <c r="I34" s="3" t="s">
        <v>72</v>
      </c>
      <c r="J34" s="4">
        <v>1</v>
      </c>
      <c r="K34" s="3" t="s">
        <v>21</v>
      </c>
      <c r="L34" s="4">
        <v>660000</v>
      </c>
      <c r="M34" s="1">
        <f>O34*J34*K34</f>
        <v>0</v>
      </c>
      <c r="N34" s="3"/>
      <c r="O34" s="2">
        <f>L34/J34*(1-K34)</f>
        <v>660000</v>
      </c>
    </row>
    <row r="35" ht="14.25">
      <c r="A35" s="3" t="s">
        <v>40</v>
      </c>
      <c r="B35" s="3" t="s">
        <v>41</v>
      </c>
      <c r="C35" s="3" t="s">
        <v>73</v>
      </c>
      <c r="D35" s="3" t="s">
        <v>17</v>
      </c>
      <c r="E35" s="3" t="s">
        <v>74</v>
      </c>
      <c r="F35" s="3" t="s">
        <v>19</v>
      </c>
      <c r="G35" s="4">
        <v>0</v>
      </c>
      <c r="H35" s="4">
        <v>1040000</v>
      </c>
      <c r="I35" s="3" t="s">
        <v>67</v>
      </c>
      <c r="J35" s="4">
        <v>2</v>
      </c>
      <c r="K35" s="3" t="s">
        <v>21</v>
      </c>
      <c r="L35" s="4">
        <v>740000</v>
      </c>
      <c r="M35" s="1">
        <f>O35*J35*K35</f>
        <v>0</v>
      </c>
      <c r="N35" s="3"/>
      <c r="O35" s="2">
        <f>L35/J35*(1-K35)</f>
        <v>370000</v>
      </c>
    </row>
    <row r="36" ht="14.25">
      <c r="A36" s="3" t="s">
        <v>40</v>
      </c>
      <c r="B36" s="3" t="s">
        <v>41</v>
      </c>
      <c r="C36" s="3" t="s">
        <v>73</v>
      </c>
      <c r="D36" s="3" t="s">
        <v>17</v>
      </c>
      <c r="E36" s="3" t="s">
        <v>74</v>
      </c>
      <c r="F36" s="3" t="s">
        <v>19</v>
      </c>
      <c r="G36" s="4">
        <v>0</v>
      </c>
      <c r="H36" s="4">
        <v>1040000</v>
      </c>
      <c r="I36" s="3" t="s">
        <v>37</v>
      </c>
      <c r="J36" s="4">
        <v>12</v>
      </c>
      <c r="K36" s="3" t="s">
        <v>21</v>
      </c>
      <c r="L36" s="4">
        <v>300000</v>
      </c>
      <c r="M36" s="1">
        <f>O36*J36*K36</f>
        <v>0</v>
      </c>
      <c r="N36" s="3"/>
      <c r="O36" s="2">
        <f>L36/J36*(1-K36)</f>
        <v>25000</v>
      </c>
    </row>
    <row r="37" ht="14.25">
      <c r="A37" s="3" t="s">
        <v>75</v>
      </c>
      <c r="B37" s="3" t="s">
        <v>76</v>
      </c>
      <c r="C37" s="3" t="s">
        <v>77</v>
      </c>
      <c r="D37" s="3" t="s">
        <v>17</v>
      </c>
      <c r="E37" s="3" t="s">
        <v>78</v>
      </c>
      <c r="F37" s="3" t="s">
        <v>19</v>
      </c>
      <c r="G37" s="4">
        <v>0</v>
      </c>
      <c r="H37" s="4">
        <v>7780000</v>
      </c>
      <c r="I37" s="3" t="s">
        <v>79</v>
      </c>
      <c r="J37" s="4">
        <v>10</v>
      </c>
      <c r="K37" s="3" t="s">
        <v>21</v>
      </c>
      <c r="L37" s="4">
        <v>6800000</v>
      </c>
      <c r="M37" s="1">
        <f>O37*J37*K37</f>
        <v>0</v>
      </c>
      <c r="N37" s="3"/>
      <c r="O37" s="2">
        <f>L37/J37*(1-K37)</f>
        <v>680000</v>
      </c>
    </row>
    <row r="38" ht="14.25">
      <c r="A38" s="3" t="s">
        <v>75</v>
      </c>
      <c r="B38" s="3" t="s">
        <v>76</v>
      </c>
      <c r="C38" s="3" t="s">
        <v>77</v>
      </c>
      <c r="D38" s="3" t="s">
        <v>17</v>
      </c>
      <c r="E38" s="3" t="s">
        <v>78</v>
      </c>
      <c r="F38" s="3" t="s">
        <v>19</v>
      </c>
      <c r="G38" s="4">
        <v>0</v>
      </c>
      <c r="H38" s="4">
        <v>7780000</v>
      </c>
      <c r="I38" s="3" t="s">
        <v>58</v>
      </c>
      <c r="J38" s="4">
        <v>2</v>
      </c>
      <c r="K38" s="3" t="s">
        <v>21</v>
      </c>
      <c r="L38" s="4">
        <v>980000</v>
      </c>
      <c r="M38" s="1">
        <f>O38*J38*K38</f>
        <v>0</v>
      </c>
      <c r="N38" s="3"/>
      <c r="O38" s="2">
        <f>L38/J38*(1-K38)</f>
        <v>490000</v>
      </c>
    </row>
    <row r="39" ht="14.25">
      <c r="A39" s="3" t="s">
        <v>75</v>
      </c>
      <c r="B39" s="3" t="s">
        <v>80</v>
      </c>
      <c r="C39" s="3" t="s">
        <v>81</v>
      </c>
      <c r="D39" s="3" t="s">
        <v>17</v>
      </c>
      <c r="E39" s="3" t="s">
        <v>34</v>
      </c>
      <c r="F39" s="3" t="s">
        <v>19</v>
      </c>
      <c r="G39" s="4">
        <v>0</v>
      </c>
      <c r="H39" s="4">
        <v>32464000</v>
      </c>
      <c r="I39" s="3" t="s">
        <v>82</v>
      </c>
      <c r="J39" s="4">
        <v>5</v>
      </c>
      <c r="K39" s="3" t="s">
        <v>21</v>
      </c>
      <c r="L39" s="4">
        <v>17750000</v>
      </c>
      <c r="M39" s="1">
        <f>O39*J39*K39</f>
        <v>0</v>
      </c>
      <c r="N39" s="3"/>
      <c r="O39" s="2">
        <f>L39/J39*(1-K39)</f>
        <v>3550000</v>
      </c>
    </row>
    <row r="40" ht="14.25">
      <c r="A40" s="3" t="s">
        <v>75</v>
      </c>
      <c r="B40" s="3" t="s">
        <v>80</v>
      </c>
      <c r="C40" s="3" t="s">
        <v>81</v>
      </c>
      <c r="D40" s="3" t="s">
        <v>17</v>
      </c>
      <c r="E40" s="3" t="s">
        <v>34</v>
      </c>
      <c r="F40" s="3" t="s">
        <v>19</v>
      </c>
      <c r="G40" s="4">
        <v>0</v>
      </c>
      <c r="H40" s="4">
        <v>32464000</v>
      </c>
      <c r="I40" s="3" t="s">
        <v>83</v>
      </c>
      <c r="J40" s="4">
        <v>2</v>
      </c>
      <c r="K40" s="3" t="s">
        <v>21</v>
      </c>
      <c r="L40" s="4">
        <v>6740000</v>
      </c>
      <c r="M40" s="1">
        <f>O40*J40*K40</f>
        <v>0</v>
      </c>
      <c r="N40" s="3"/>
      <c r="O40" s="2">
        <f>L40/J40*(1-K40)</f>
        <v>3370000</v>
      </c>
    </row>
    <row r="41" ht="14.25">
      <c r="A41" s="3" t="s">
        <v>75</v>
      </c>
      <c r="B41" s="3" t="s">
        <v>80</v>
      </c>
      <c r="C41" s="3" t="s">
        <v>81</v>
      </c>
      <c r="D41" s="3" t="s">
        <v>17</v>
      </c>
      <c r="E41" s="3" t="s">
        <v>34</v>
      </c>
      <c r="F41" s="3" t="s">
        <v>19</v>
      </c>
      <c r="G41" s="4">
        <v>0</v>
      </c>
      <c r="H41" s="4">
        <v>32464000</v>
      </c>
      <c r="I41" s="3" t="s">
        <v>35</v>
      </c>
      <c r="J41" s="4">
        <v>1</v>
      </c>
      <c r="K41" s="3" t="s">
        <v>21</v>
      </c>
      <c r="L41" s="4">
        <v>3550000</v>
      </c>
      <c r="M41" s="1">
        <f>O41*J41*K41</f>
        <v>0</v>
      </c>
      <c r="N41" s="3"/>
      <c r="O41" s="2">
        <f>L41/J41*(1-K41)</f>
        <v>3550000</v>
      </c>
    </row>
    <row r="42" ht="14.25">
      <c r="A42" s="3" t="s">
        <v>75</v>
      </c>
      <c r="B42" s="3" t="s">
        <v>80</v>
      </c>
      <c r="C42" s="3" t="s">
        <v>81</v>
      </c>
      <c r="D42" s="3" t="s">
        <v>17</v>
      </c>
      <c r="E42" s="3" t="s">
        <v>34</v>
      </c>
      <c r="F42" s="3" t="s">
        <v>19</v>
      </c>
      <c r="G42" s="4">
        <v>0</v>
      </c>
      <c r="H42" s="4">
        <v>32464000</v>
      </c>
      <c r="I42" s="3" t="s">
        <v>29</v>
      </c>
      <c r="J42" s="4">
        <v>2</v>
      </c>
      <c r="K42" s="3" t="s">
        <v>21</v>
      </c>
      <c r="L42" s="4">
        <v>960000</v>
      </c>
      <c r="M42" s="1">
        <f>O42*J42*K42</f>
        <v>0</v>
      </c>
      <c r="N42" s="3"/>
      <c r="O42" s="2">
        <f>L42/J42*(1-K42)</f>
        <v>480000</v>
      </c>
    </row>
    <row r="43" ht="14.25">
      <c r="A43" s="3" t="s">
        <v>75</v>
      </c>
      <c r="B43" s="3" t="s">
        <v>80</v>
      </c>
      <c r="C43" s="3" t="s">
        <v>81</v>
      </c>
      <c r="D43" s="3" t="s">
        <v>17</v>
      </c>
      <c r="E43" s="3" t="s">
        <v>34</v>
      </c>
      <c r="F43" s="3" t="s">
        <v>19</v>
      </c>
      <c r="G43" s="4">
        <v>0</v>
      </c>
      <c r="H43" s="4">
        <v>32464000</v>
      </c>
      <c r="I43" s="3" t="s">
        <v>39</v>
      </c>
      <c r="J43" s="4">
        <v>1</v>
      </c>
      <c r="K43" s="3" t="s">
        <v>21</v>
      </c>
      <c r="L43" s="4">
        <v>3200000</v>
      </c>
      <c r="M43" s="1">
        <f>O43*J43*K43</f>
        <v>0</v>
      </c>
      <c r="N43" s="3"/>
      <c r="O43" s="2">
        <f>L43/J43*(1-K43)</f>
        <v>3200000</v>
      </c>
    </row>
    <row r="44" ht="14.25">
      <c r="A44" s="3" t="s">
        <v>75</v>
      </c>
      <c r="B44" s="3" t="s">
        <v>80</v>
      </c>
      <c r="C44" s="3" t="s">
        <v>81</v>
      </c>
      <c r="D44" s="3" t="s">
        <v>17</v>
      </c>
      <c r="E44" s="3" t="s">
        <v>34</v>
      </c>
      <c r="F44" s="3" t="s">
        <v>19</v>
      </c>
      <c r="G44" s="4">
        <v>0</v>
      </c>
      <c r="H44" s="4">
        <v>32464000</v>
      </c>
      <c r="I44" s="3" t="s">
        <v>37</v>
      </c>
      <c r="J44" s="4">
        <v>12</v>
      </c>
      <c r="K44" s="3" t="s">
        <v>21</v>
      </c>
      <c r="L44" s="4">
        <v>264000</v>
      </c>
      <c r="M44" s="1">
        <f>O44*J44*K44</f>
        <v>0</v>
      </c>
      <c r="N44" s="3"/>
      <c r="O44" s="2">
        <f>L44/J44*(1-K44)</f>
        <v>22000</v>
      </c>
    </row>
    <row r="45" ht="14.25">
      <c r="A45" s="3" t="s">
        <v>75</v>
      </c>
      <c r="B45" s="3" t="s">
        <v>80</v>
      </c>
      <c r="C45" s="3" t="s">
        <v>84</v>
      </c>
      <c r="D45" s="3" t="s">
        <v>17</v>
      </c>
      <c r="E45" s="3" t="s">
        <v>85</v>
      </c>
      <c r="F45" s="3" t="s">
        <v>19</v>
      </c>
      <c r="G45" s="4">
        <v>0</v>
      </c>
      <c r="H45" s="4">
        <v>5300000</v>
      </c>
      <c r="I45" s="3" t="s">
        <v>86</v>
      </c>
      <c r="J45" s="4">
        <v>1</v>
      </c>
      <c r="K45" s="3" t="s">
        <v>21</v>
      </c>
      <c r="L45" s="4">
        <v>5300000</v>
      </c>
      <c r="M45" s="1">
        <f>O45*J45*K45</f>
        <v>0</v>
      </c>
      <c r="N45" s="3"/>
      <c r="O45" s="2">
        <f>L45/J45*(1-K45)</f>
        <v>5300000</v>
      </c>
    </row>
    <row r="46" ht="14.25">
      <c r="A46" s="3" t="s">
        <v>75</v>
      </c>
      <c r="B46" s="3" t="s">
        <v>76</v>
      </c>
      <c r="C46" s="3" t="s">
        <v>87</v>
      </c>
      <c r="D46" s="3" t="s">
        <v>17</v>
      </c>
      <c r="E46" s="3" t="s">
        <v>88</v>
      </c>
      <c r="F46" s="3" t="s">
        <v>19</v>
      </c>
      <c r="G46" s="4">
        <v>0</v>
      </c>
      <c r="H46" s="4">
        <v>8411088</v>
      </c>
      <c r="I46" s="3" t="s">
        <v>82</v>
      </c>
      <c r="J46" s="4">
        <v>1</v>
      </c>
      <c r="K46" s="3" t="s">
        <v>21</v>
      </c>
      <c r="L46" s="4">
        <v>3800000</v>
      </c>
      <c r="M46" s="1">
        <f>O46*J46*K46</f>
        <v>0</v>
      </c>
      <c r="N46" s="3"/>
      <c r="O46" s="2">
        <f>L46/J46*(1-K46)</f>
        <v>3800000</v>
      </c>
    </row>
    <row r="47" ht="14.25">
      <c r="A47" s="3" t="s">
        <v>75</v>
      </c>
      <c r="B47" s="3" t="s">
        <v>76</v>
      </c>
      <c r="C47" s="3" t="s">
        <v>87</v>
      </c>
      <c r="D47" s="3" t="s">
        <v>17</v>
      </c>
      <c r="E47" s="3" t="s">
        <v>88</v>
      </c>
      <c r="F47" s="3" t="s">
        <v>19</v>
      </c>
      <c r="G47" s="4">
        <v>0</v>
      </c>
      <c r="H47" s="4">
        <v>8411088</v>
      </c>
      <c r="I47" s="3" t="s">
        <v>89</v>
      </c>
      <c r="J47" s="4">
        <v>2</v>
      </c>
      <c r="K47" s="3" t="s">
        <v>21</v>
      </c>
      <c r="L47" s="4">
        <v>1260000</v>
      </c>
      <c r="M47" s="1">
        <f>O47*J47*K47</f>
        <v>0</v>
      </c>
      <c r="N47" s="3"/>
      <c r="O47" s="2">
        <f>L47/J47*(1-K47)</f>
        <v>630000</v>
      </c>
    </row>
    <row r="48" ht="14.25">
      <c r="A48" s="3" t="s">
        <v>75</v>
      </c>
      <c r="B48" s="3" t="s">
        <v>76</v>
      </c>
      <c r="C48" s="3" t="s">
        <v>87</v>
      </c>
      <c r="D48" s="3" t="s">
        <v>17</v>
      </c>
      <c r="E48" s="3" t="s">
        <v>88</v>
      </c>
      <c r="F48" s="3" t="s">
        <v>19</v>
      </c>
      <c r="G48" s="4">
        <v>0</v>
      </c>
      <c r="H48" s="4">
        <v>8411088</v>
      </c>
      <c r="I48" s="3" t="s">
        <v>90</v>
      </c>
      <c r="J48" s="4">
        <v>5</v>
      </c>
      <c r="K48" s="3" t="s">
        <v>21</v>
      </c>
      <c r="L48" s="4">
        <v>2500000</v>
      </c>
      <c r="M48" s="1">
        <f>O48*J48*K48</f>
        <v>0</v>
      </c>
      <c r="N48" s="3"/>
      <c r="O48" s="2">
        <f>L48/J48*(1-K48)</f>
        <v>500000</v>
      </c>
    </row>
    <row r="49" ht="14.25">
      <c r="A49" s="3" t="s">
        <v>75</v>
      </c>
      <c r="B49" s="3" t="s">
        <v>76</v>
      </c>
      <c r="C49" s="3" t="s">
        <v>87</v>
      </c>
      <c r="D49" s="3" t="s">
        <v>17</v>
      </c>
      <c r="E49" s="3" t="s">
        <v>88</v>
      </c>
      <c r="F49" s="3" t="s">
        <v>19</v>
      </c>
      <c r="G49" s="4">
        <v>0</v>
      </c>
      <c r="H49" s="4">
        <v>8411088</v>
      </c>
      <c r="I49" s="3" t="s">
        <v>37</v>
      </c>
      <c r="J49" s="4">
        <v>24</v>
      </c>
      <c r="K49" s="3" t="s">
        <v>21</v>
      </c>
      <c r="L49" s="4">
        <v>552000</v>
      </c>
      <c r="M49" s="1">
        <f>O49*J49*K49</f>
        <v>0</v>
      </c>
      <c r="N49" s="3"/>
      <c r="O49" s="2">
        <f>L49/J49*(1-K49)</f>
        <v>23000</v>
      </c>
    </row>
    <row r="50" ht="14.25">
      <c r="A50" s="3" t="s">
        <v>75</v>
      </c>
      <c r="B50" s="3" t="s">
        <v>76</v>
      </c>
      <c r="C50" s="3" t="s">
        <v>87</v>
      </c>
      <c r="D50" s="3" t="s">
        <v>17</v>
      </c>
      <c r="E50" s="3" t="s">
        <v>88</v>
      </c>
      <c r="F50" s="3" t="s">
        <v>19</v>
      </c>
      <c r="G50" s="4">
        <v>0</v>
      </c>
      <c r="H50" s="4">
        <v>8411088</v>
      </c>
      <c r="I50" s="3" t="s">
        <v>91</v>
      </c>
      <c r="J50" s="4">
        <v>24</v>
      </c>
      <c r="K50" s="3" t="s">
        <v>21</v>
      </c>
      <c r="L50" s="4">
        <v>299088</v>
      </c>
      <c r="M50" s="1">
        <f>O50*J50*K50</f>
        <v>0</v>
      </c>
      <c r="N50" s="3"/>
      <c r="O50" s="2">
        <f>L50/J50*(1-K50)</f>
        <v>12462</v>
      </c>
    </row>
    <row r="51" ht="14.25">
      <c r="A51" s="3" t="s">
        <v>75</v>
      </c>
      <c r="B51" s="3" t="s">
        <v>80</v>
      </c>
      <c r="C51" s="3" t="s">
        <v>92</v>
      </c>
      <c r="D51" s="3" t="s">
        <v>17</v>
      </c>
      <c r="E51" s="3" t="s">
        <v>93</v>
      </c>
      <c r="F51" s="3" t="s">
        <v>19</v>
      </c>
      <c r="G51" s="4">
        <v>0</v>
      </c>
      <c r="H51" s="4">
        <v>525000</v>
      </c>
      <c r="I51" s="3" t="s">
        <v>94</v>
      </c>
      <c r="J51" s="4">
        <v>1</v>
      </c>
      <c r="K51" s="3" t="s">
        <v>21</v>
      </c>
      <c r="L51" s="4">
        <v>350000</v>
      </c>
      <c r="M51" s="1">
        <f>O51*J51*K51</f>
        <v>0</v>
      </c>
      <c r="N51" s="3"/>
      <c r="O51" s="2">
        <f>L51/J51*(1-K51)</f>
        <v>350000</v>
      </c>
    </row>
    <row r="52" ht="14.25">
      <c r="A52" s="3" t="s">
        <v>75</v>
      </c>
      <c r="B52" s="3" t="s">
        <v>80</v>
      </c>
      <c r="C52" s="3" t="s">
        <v>92</v>
      </c>
      <c r="D52" s="3" t="s">
        <v>17</v>
      </c>
      <c r="E52" s="3" t="s">
        <v>93</v>
      </c>
      <c r="F52" s="3" t="s">
        <v>19</v>
      </c>
      <c r="G52" s="4">
        <v>0</v>
      </c>
      <c r="H52" s="4">
        <v>525000</v>
      </c>
      <c r="I52" s="3" t="s">
        <v>95</v>
      </c>
      <c r="J52" s="4">
        <v>1</v>
      </c>
      <c r="K52" s="3" t="s">
        <v>21</v>
      </c>
      <c r="L52" s="4">
        <v>175000</v>
      </c>
      <c r="M52" s="1">
        <f>O52*J52*K52</f>
        <v>0</v>
      </c>
      <c r="N52" s="3"/>
      <c r="O52" s="2">
        <f>L52/J52*(1-K52)</f>
        <v>175000</v>
      </c>
    </row>
    <row r="53" ht="14.25">
      <c r="A53" s="3" t="s">
        <v>96</v>
      </c>
      <c r="B53" s="3" t="s">
        <v>97</v>
      </c>
      <c r="C53" s="3" t="s">
        <v>98</v>
      </c>
      <c r="D53" s="3" t="s">
        <v>17</v>
      </c>
      <c r="E53" s="3" t="s">
        <v>99</v>
      </c>
      <c r="F53" s="3" t="s">
        <v>19</v>
      </c>
      <c r="G53" s="4">
        <v>0</v>
      </c>
      <c r="H53" s="4">
        <v>85500000</v>
      </c>
      <c r="I53" s="3" t="s">
        <v>100</v>
      </c>
      <c r="J53" s="4">
        <v>1</v>
      </c>
      <c r="K53" s="3" t="s">
        <v>21</v>
      </c>
      <c r="L53" s="4">
        <v>13000000</v>
      </c>
      <c r="M53" s="1">
        <f>O53*J53*K53</f>
        <v>0</v>
      </c>
      <c r="N53" s="3"/>
      <c r="O53" s="2">
        <f>L53/J53*(1-K53)</f>
        <v>13000000</v>
      </c>
    </row>
    <row r="54" ht="14.25">
      <c r="A54" s="3" t="s">
        <v>96</v>
      </c>
      <c r="B54" s="3" t="s">
        <v>97</v>
      </c>
      <c r="C54" s="3" t="s">
        <v>98</v>
      </c>
      <c r="D54" s="3" t="s">
        <v>17</v>
      </c>
      <c r="E54" s="3" t="s">
        <v>99</v>
      </c>
      <c r="F54" s="3" t="s">
        <v>19</v>
      </c>
      <c r="G54" s="4">
        <v>0</v>
      </c>
      <c r="H54" s="4">
        <v>85500000</v>
      </c>
      <c r="I54" s="3" t="s">
        <v>101</v>
      </c>
      <c r="J54" s="4">
        <v>6</v>
      </c>
      <c r="K54" s="3" t="s">
        <v>21</v>
      </c>
      <c r="L54" s="4">
        <v>12150000</v>
      </c>
      <c r="M54" s="1">
        <f>O54*J54*K54</f>
        <v>0</v>
      </c>
      <c r="N54" s="3"/>
      <c r="O54" s="2">
        <f>L54/J54*(1-K54)</f>
        <v>2025000</v>
      </c>
    </row>
    <row r="55" ht="14.25">
      <c r="A55" s="3" t="s">
        <v>96</v>
      </c>
      <c r="B55" s="3" t="s">
        <v>97</v>
      </c>
      <c r="C55" s="3" t="s">
        <v>98</v>
      </c>
      <c r="D55" s="3" t="s">
        <v>17</v>
      </c>
      <c r="E55" s="3" t="s">
        <v>99</v>
      </c>
      <c r="F55" s="3" t="s">
        <v>19</v>
      </c>
      <c r="G55" s="4">
        <v>0</v>
      </c>
      <c r="H55" s="4">
        <v>85500000</v>
      </c>
      <c r="I55" s="3" t="s">
        <v>102</v>
      </c>
      <c r="J55" s="4">
        <v>6</v>
      </c>
      <c r="K55" s="3" t="s">
        <v>21</v>
      </c>
      <c r="L55" s="4">
        <v>12150000</v>
      </c>
      <c r="M55" s="1">
        <f>O55*J55*K55</f>
        <v>0</v>
      </c>
      <c r="N55" s="3"/>
      <c r="O55" s="2">
        <f>L55/J55*(1-K55)</f>
        <v>2025000</v>
      </c>
    </row>
    <row r="56" ht="14.25">
      <c r="A56" s="3" t="s">
        <v>96</v>
      </c>
      <c r="B56" s="3" t="s">
        <v>97</v>
      </c>
      <c r="C56" s="3" t="s">
        <v>98</v>
      </c>
      <c r="D56" s="3" t="s">
        <v>17</v>
      </c>
      <c r="E56" s="3" t="s">
        <v>99</v>
      </c>
      <c r="F56" s="3" t="s">
        <v>19</v>
      </c>
      <c r="G56" s="4">
        <v>0</v>
      </c>
      <c r="H56" s="4">
        <v>85500000</v>
      </c>
      <c r="I56" s="3" t="s">
        <v>103</v>
      </c>
      <c r="J56" s="4">
        <v>6</v>
      </c>
      <c r="K56" s="3" t="s">
        <v>21</v>
      </c>
      <c r="L56" s="4">
        <v>12150000</v>
      </c>
      <c r="M56" s="1">
        <f>O56*J56*K56</f>
        <v>0</v>
      </c>
      <c r="N56" s="3"/>
      <c r="O56" s="2">
        <f>L56/J56*(1-K56)</f>
        <v>2025000</v>
      </c>
    </row>
    <row r="57" ht="14.25">
      <c r="A57" s="3" t="s">
        <v>96</v>
      </c>
      <c r="B57" s="3" t="s">
        <v>97</v>
      </c>
      <c r="C57" s="3" t="s">
        <v>98</v>
      </c>
      <c r="D57" s="3" t="s">
        <v>17</v>
      </c>
      <c r="E57" s="3" t="s">
        <v>99</v>
      </c>
      <c r="F57" s="3" t="s">
        <v>19</v>
      </c>
      <c r="G57" s="4">
        <v>0</v>
      </c>
      <c r="H57" s="4">
        <v>85500000</v>
      </c>
      <c r="I57" s="3" t="s">
        <v>104</v>
      </c>
      <c r="J57" s="4">
        <v>5</v>
      </c>
      <c r="K57" s="3" t="s">
        <v>21</v>
      </c>
      <c r="L57" s="4">
        <v>7250000</v>
      </c>
      <c r="M57" s="1">
        <f>O57*J57*K57</f>
        <v>0</v>
      </c>
      <c r="N57" s="3"/>
      <c r="O57" s="2">
        <f>L57/J57*(1-K57)</f>
        <v>1450000</v>
      </c>
    </row>
    <row r="58" ht="14.25">
      <c r="A58" s="3" t="s">
        <v>96</v>
      </c>
      <c r="B58" s="3" t="s">
        <v>97</v>
      </c>
      <c r="C58" s="3" t="s">
        <v>98</v>
      </c>
      <c r="D58" s="3" t="s">
        <v>17</v>
      </c>
      <c r="E58" s="3" t="s">
        <v>99</v>
      </c>
      <c r="F58" s="3" t="s">
        <v>19</v>
      </c>
      <c r="G58" s="4">
        <v>0</v>
      </c>
      <c r="H58" s="4">
        <v>85500000</v>
      </c>
      <c r="I58" s="3" t="s">
        <v>105</v>
      </c>
      <c r="J58" s="4">
        <v>3</v>
      </c>
      <c r="K58" s="3" t="s">
        <v>21</v>
      </c>
      <c r="L58" s="4">
        <v>17400000</v>
      </c>
      <c r="M58" s="1">
        <f>O58*J58*K58</f>
        <v>0</v>
      </c>
      <c r="N58" s="3"/>
      <c r="O58" s="2">
        <f>L58/J58*(1-K58)</f>
        <v>5800000</v>
      </c>
    </row>
    <row r="59" ht="14.25">
      <c r="A59" s="3" t="s">
        <v>96</v>
      </c>
      <c r="B59" s="3" t="s">
        <v>97</v>
      </c>
      <c r="C59" s="3" t="s">
        <v>98</v>
      </c>
      <c r="D59" s="3" t="s">
        <v>17</v>
      </c>
      <c r="E59" s="3" t="s">
        <v>99</v>
      </c>
      <c r="F59" s="3" t="s">
        <v>19</v>
      </c>
      <c r="G59" s="4">
        <v>0</v>
      </c>
      <c r="H59" s="4">
        <v>85500000</v>
      </c>
      <c r="I59" s="3" t="s">
        <v>82</v>
      </c>
      <c r="J59" s="4">
        <v>3</v>
      </c>
      <c r="K59" s="3" t="s">
        <v>21</v>
      </c>
      <c r="L59" s="4">
        <v>11400000</v>
      </c>
      <c r="M59" s="1">
        <f>O59*J59*K59</f>
        <v>0</v>
      </c>
      <c r="N59" s="3"/>
      <c r="O59" s="2">
        <f>L59/J59*(1-K59)</f>
        <v>3800000</v>
      </c>
    </row>
    <row r="60" ht="14.25">
      <c r="A60" s="3" t="s">
        <v>96</v>
      </c>
      <c r="B60" s="3" t="s">
        <v>97</v>
      </c>
      <c r="C60" s="3" t="s">
        <v>106</v>
      </c>
      <c r="D60" s="3" t="s">
        <v>17</v>
      </c>
      <c r="E60" s="3" t="s">
        <v>107</v>
      </c>
      <c r="F60" s="3" t="s">
        <v>19</v>
      </c>
      <c r="G60" s="4">
        <v>0</v>
      </c>
      <c r="H60" s="4">
        <v>15507008</v>
      </c>
      <c r="I60" s="3" t="s">
        <v>32</v>
      </c>
      <c r="J60" s="4">
        <v>168</v>
      </c>
      <c r="K60" s="3" t="s">
        <v>21</v>
      </c>
      <c r="L60" s="4">
        <v>3780000</v>
      </c>
      <c r="M60" s="1">
        <f>O60*J60*K60</f>
        <v>0</v>
      </c>
      <c r="N60" s="3"/>
      <c r="O60" s="2">
        <f>L60/J60*(1-K60)</f>
        <v>22500</v>
      </c>
    </row>
    <row r="61" ht="14.25">
      <c r="A61" s="3" t="s">
        <v>96</v>
      </c>
      <c r="B61" s="3" t="s">
        <v>97</v>
      </c>
      <c r="C61" s="3" t="s">
        <v>106</v>
      </c>
      <c r="D61" s="3" t="s">
        <v>17</v>
      </c>
      <c r="E61" s="3" t="s">
        <v>107</v>
      </c>
      <c r="F61" s="3" t="s">
        <v>19</v>
      </c>
      <c r="G61" s="4">
        <v>0</v>
      </c>
      <c r="H61" s="4">
        <v>15507008</v>
      </c>
      <c r="I61" s="3" t="s">
        <v>108</v>
      </c>
      <c r="J61" s="4">
        <v>72</v>
      </c>
      <c r="K61" s="3" t="s">
        <v>21</v>
      </c>
      <c r="L61" s="4">
        <v>1656000</v>
      </c>
      <c r="M61" s="1">
        <f>O61*J61*K61</f>
        <v>0</v>
      </c>
      <c r="N61" s="3"/>
      <c r="O61" s="2">
        <f>L61/J61*(1-K61)</f>
        <v>23000</v>
      </c>
    </row>
    <row r="62" ht="14.25">
      <c r="A62" s="3" t="s">
        <v>96</v>
      </c>
      <c r="B62" s="3" t="s">
        <v>97</v>
      </c>
      <c r="C62" s="3" t="s">
        <v>106</v>
      </c>
      <c r="D62" s="3" t="s">
        <v>17</v>
      </c>
      <c r="E62" s="3" t="s">
        <v>107</v>
      </c>
      <c r="F62" s="3" t="s">
        <v>19</v>
      </c>
      <c r="G62" s="4">
        <v>0</v>
      </c>
      <c r="H62" s="4">
        <v>15507008</v>
      </c>
      <c r="I62" s="3" t="s">
        <v>109</v>
      </c>
      <c r="J62" s="4">
        <v>40</v>
      </c>
      <c r="K62" s="3" t="s">
        <v>21</v>
      </c>
      <c r="L62" s="4">
        <v>1280000</v>
      </c>
      <c r="M62" s="1">
        <f>O62*J62*K62</f>
        <v>0</v>
      </c>
      <c r="N62" s="3"/>
      <c r="O62" s="2">
        <f>L62/J62*(1-K62)</f>
        <v>32000</v>
      </c>
    </row>
    <row r="63" ht="14.25">
      <c r="A63" s="3" t="s">
        <v>96</v>
      </c>
      <c r="B63" s="3" t="s">
        <v>97</v>
      </c>
      <c r="C63" s="3" t="s">
        <v>106</v>
      </c>
      <c r="D63" s="3" t="s">
        <v>17</v>
      </c>
      <c r="E63" s="3" t="s">
        <v>107</v>
      </c>
      <c r="F63" s="3" t="s">
        <v>19</v>
      </c>
      <c r="G63" s="4">
        <v>0</v>
      </c>
      <c r="H63" s="4">
        <v>15507008</v>
      </c>
      <c r="I63" s="3" t="s">
        <v>110</v>
      </c>
      <c r="J63" s="4">
        <v>48</v>
      </c>
      <c r="K63" s="3" t="s">
        <v>21</v>
      </c>
      <c r="L63" s="4">
        <v>1360032</v>
      </c>
      <c r="M63" s="1">
        <f>O63*J63*K63</f>
        <v>0</v>
      </c>
      <c r="N63" s="3"/>
      <c r="O63" s="2">
        <f>L63/J63*(1-K63)</f>
        <v>28334</v>
      </c>
    </row>
    <row r="64" ht="14.25">
      <c r="A64" s="3" t="s">
        <v>96</v>
      </c>
      <c r="B64" s="3" t="s">
        <v>97</v>
      </c>
      <c r="C64" s="3" t="s">
        <v>106</v>
      </c>
      <c r="D64" s="3" t="s">
        <v>17</v>
      </c>
      <c r="E64" s="3" t="s">
        <v>107</v>
      </c>
      <c r="F64" s="3" t="s">
        <v>19</v>
      </c>
      <c r="G64" s="4">
        <v>0</v>
      </c>
      <c r="H64" s="4">
        <v>15507008</v>
      </c>
      <c r="I64" s="3" t="s">
        <v>111</v>
      </c>
      <c r="J64" s="4">
        <v>72</v>
      </c>
      <c r="K64" s="3" t="s">
        <v>21</v>
      </c>
      <c r="L64" s="4">
        <v>2040048</v>
      </c>
      <c r="M64" s="1">
        <f>O64*J64*K64</f>
        <v>0</v>
      </c>
      <c r="N64" s="3"/>
      <c r="O64" s="2">
        <f>L64/J64*(1-K64)</f>
        <v>28334</v>
      </c>
    </row>
    <row r="65" ht="14.25">
      <c r="A65" s="3" t="s">
        <v>96</v>
      </c>
      <c r="B65" s="3" t="s">
        <v>97</v>
      </c>
      <c r="C65" s="3" t="s">
        <v>106</v>
      </c>
      <c r="D65" s="3" t="s">
        <v>17</v>
      </c>
      <c r="E65" s="3" t="s">
        <v>107</v>
      </c>
      <c r="F65" s="3" t="s">
        <v>19</v>
      </c>
      <c r="G65" s="4">
        <v>0</v>
      </c>
      <c r="H65" s="4">
        <v>15507008</v>
      </c>
      <c r="I65" s="3" t="s">
        <v>112</v>
      </c>
      <c r="J65" s="4">
        <v>24</v>
      </c>
      <c r="K65" s="3" t="s">
        <v>21</v>
      </c>
      <c r="L65" s="4">
        <v>760008</v>
      </c>
      <c r="M65" s="1">
        <f>O65*J65*K65</f>
        <v>0</v>
      </c>
      <c r="N65" s="3"/>
      <c r="O65" s="2">
        <f>L65/J65*(1-K65)</f>
        <v>31667</v>
      </c>
    </row>
    <row r="66" ht="14.25">
      <c r="A66" s="3" t="s">
        <v>96</v>
      </c>
      <c r="B66" s="3" t="s">
        <v>97</v>
      </c>
      <c r="C66" s="3" t="s">
        <v>106</v>
      </c>
      <c r="D66" s="3" t="s">
        <v>17</v>
      </c>
      <c r="E66" s="3" t="s">
        <v>107</v>
      </c>
      <c r="F66" s="3" t="s">
        <v>19</v>
      </c>
      <c r="G66" s="4">
        <v>0</v>
      </c>
      <c r="H66" s="4">
        <v>15507008</v>
      </c>
      <c r="I66" s="3" t="s">
        <v>113</v>
      </c>
      <c r="J66" s="4">
        <v>24</v>
      </c>
      <c r="K66" s="3" t="s">
        <v>21</v>
      </c>
      <c r="L66" s="4">
        <v>760008</v>
      </c>
      <c r="M66" s="1">
        <f>O66*J66*K66</f>
        <v>0</v>
      </c>
      <c r="N66" s="3"/>
      <c r="O66" s="2">
        <f>L66/J66*(1-K66)</f>
        <v>31667</v>
      </c>
    </row>
    <row r="67" ht="14.25">
      <c r="A67" s="3" t="s">
        <v>96</v>
      </c>
      <c r="B67" s="3" t="s">
        <v>97</v>
      </c>
      <c r="C67" s="3" t="s">
        <v>106</v>
      </c>
      <c r="D67" s="3" t="s">
        <v>17</v>
      </c>
      <c r="E67" s="3" t="s">
        <v>107</v>
      </c>
      <c r="F67" s="3" t="s">
        <v>19</v>
      </c>
      <c r="G67" s="4">
        <v>0</v>
      </c>
      <c r="H67" s="4">
        <v>15507008</v>
      </c>
      <c r="I67" s="3" t="s">
        <v>114</v>
      </c>
      <c r="J67" s="4">
        <v>12</v>
      </c>
      <c r="K67" s="3" t="s">
        <v>21</v>
      </c>
      <c r="L67" s="4">
        <v>484992</v>
      </c>
      <c r="M67" s="1">
        <f>O67*J67*K67</f>
        <v>0</v>
      </c>
      <c r="N67" s="3"/>
      <c r="O67" s="2">
        <f>L67/J67*(1-K67)</f>
        <v>40416</v>
      </c>
    </row>
    <row r="68" ht="14.25">
      <c r="A68" s="3" t="s">
        <v>96</v>
      </c>
      <c r="B68" s="3" t="s">
        <v>97</v>
      </c>
      <c r="C68" s="3" t="s">
        <v>106</v>
      </c>
      <c r="D68" s="3" t="s">
        <v>17</v>
      </c>
      <c r="E68" s="3" t="s">
        <v>107</v>
      </c>
      <c r="F68" s="3" t="s">
        <v>19</v>
      </c>
      <c r="G68" s="4">
        <v>0</v>
      </c>
      <c r="H68" s="4">
        <v>15507008</v>
      </c>
      <c r="I68" s="3" t="s">
        <v>115</v>
      </c>
      <c r="J68" s="4">
        <v>36</v>
      </c>
      <c r="K68" s="3" t="s">
        <v>21</v>
      </c>
      <c r="L68" s="4">
        <v>1260000</v>
      </c>
      <c r="M68" s="1">
        <f>O68*J68*K68</f>
        <v>0</v>
      </c>
      <c r="N68" s="3"/>
      <c r="O68" s="2">
        <f>L68/J68*(1-K68)</f>
        <v>35000</v>
      </c>
    </row>
    <row r="69" ht="14.25">
      <c r="A69" s="3" t="s">
        <v>96</v>
      </c>
      <c r="B69" s="3" t="s">
        <v>97</v>
      </c>
      <c r="C69" s="3" t="s">
        <v>106</v>
      </c>
      <c r="D69" s="3" t="s">
        <v>17</v>
      </c>
      <c r="E69" s="3" t="s">
        <v>107</v>
      </c>
      <c r="F69" s="3" t="s">
        <v>19</v>
      </c>
      <c r="G69" s="4">
        <v>0</v>
      </c>
      <c r="H69" s="4">
        <v>15507008</v>
      </c>
      <c r="I69" s="3" t="s">
        <v>116</v>
      </c>
      <c r="J69" s="4">
        <v>240</v>
      </c>
      <c r="K69" s="3" t="s">
        <v>21</v>
      </c>
      <c r="L69" s="4">
        <v>1452000</v>
      </c>
      <c r="M69" s="1">
        <f>O69*J69*K69</f>
        <v>0</v>
      </c>
      <c r="N69" s="3"/>
      <c r="O69" s="2">
        <f>L69/J69*(1-K69)</f>
        <v>6050</v>
      </c>
    </row>
    <row r="70" ht="14.25">
      <c r="A70" s="3" t="s">
        <v>96</v>
      </c>
      <c r="B70" s="3" t="s">
        <v>97</v>
      </c>
      <c r="C70" s="3" t="s">
        <v>106</v>
      </c>
      <c r="D70" s="3" t="s">
        <v>17</v>
      </c>
      <c r="E70" s="3" t="s">
        <v>107</v>
      </c>
      <c r="F70" s="3" t="s">
        <v>19</v>
      </c>
      <c r="G70" s="4">
        <v>0</v>
      </c>
      <c r="H70" s="4">
        <v>15507008</v>
      </c>
      <c r="I70" s="3" t="s">
        <v>117</v>
      </c>
      <c r="J70" s="4">
        <v>48</v>
      </c>
      <c r="K70" s="3" t="s">
        <v>21</v>
      </c>
      <c r="L70" s="4">
        <v>673920</v>
      </c>
      <c r="M70" s="1">
        <f>O70*J70*K70</f>
        <v>0</v>
      </c>
      <c r="N70" s="3"/>
      <c r="O70" s="2">
        <f>L70/J70*(1-K70)</f>
        <v>14040</v>
      </c>
    </row>
    <row r="71" ht="14.25">
      <c r="A71" s="3" t="s">
        <v>96</v>
      </c>
      <c r="B71" s="3" t="s">
        <v>118</v>
      </c>
      <c r="C71" s="3" t="s">
        <v>119</v>
      </c>
      <c r="D71" s="3" t="s">
        <v>17</v>
      </c>
      <c r="E71" s="3" t="s">
        <v>34</v>
      </c>
      <c r="F71" s="3" t="s">
        <v>19</v>
      </c>
      <c r="G71" s="4">
        <v>0</v>
      </c>
      <c r="H71" s="4">
        <v>24820638</v>
      </c>
      <c r="I71" s="3" t="s">
        <v>120</v>
      </c>
      <c r="J71" s="4">
        <v>10</v>
      </c>
      <c r="K71" s="3" t="s">
        <v>21</v>
      </c>
      <c r="L71" s="4">
        <v>2200000</v>
      </c>
      <c r="M71" s="1">
        <f>O71*J71*K71</f>
        <v>0</v>
      </c>
      <c r="N71" s="3"/>
      <c r="O71" s="2">
        <f>L71/J71*(1-K71)</f>
        <v>220000</v>
      </c>
    </row>
    <row r="72" ht="14.25">
      <c r="A72" s="3" t="s">
        <v>96</v>
      </c>
      <c r="B72" s="3" t="s">
        <v>118</v>
      </c>
      <c r="C72" s="3" t="s">
        <v>119</v>
      </c>
      <c r="D72" s="3" t="s">
        <v>17</v>
      </c>
      <c r="E72" s="3" t="s">
        <v>34</v>
      </c>
      <c r="F72" s="3" t="s">
        <v>19</v>
      </c>
      <c r="G72" s="4">
        <v>0</v>
      </c>
      <c r="H72" s="4">
        <v>24820638</v>
      </c>
      <c r="I72" s="3" t="s">
        <v>121</v>
      </c>
      <c r="J72" s="4">
        <v>3</v>
      </c>
      <c r="K72" s="3" t="s">
        <v>21</v>
      </c>
      <c r="L72" s="4">
        <v>9600000</v>
      </c>
      <c r="M72" s="1">
        <f>O72*J72*K72</f>
        <v>0</v>
      </c>
      <c r="N72" s="3"/>
      <c r="O72" s="2">
        <f>L72/J72*(1-K72)</f>
        <v>3200000</v>
      </c>
    </row>
    <row r="73" ht="14.25">
      <c r="A73" s="3" t="s">
        <v>96</v>
      </c>
      <c r="B73" s="3" t="s">
        <v>118</v>
      </c>
      <c r="C73" s="3" t="s">
        <v>119</v>
      </c>
      <c r="D73" s="3" t="s">
        <v>17</v>
      </c>
      <c r="E73" s="3" t="s">
        <v>34</v>
      </c>
      <c r="F73" s="3" t="s">
        <v>19</v>
      </c>
      <c r="G73" s="4">
        <v>0</v>
      </c>
      <c r="H73" s="4">
        <v>24820638</v>
      </c>
      <c r="I73" s="3" t="s">
        <v>39</v>
      </c>
      <c r="J73" s="4">
        <v>1</v>
      </c>
      <c r="K73" s="3" t="s">
        <v>21</v>
      </c>
      <c r="L73" s="4">
        <v>3200000</v>
      </c>
      <c r="M73" s="1">
        <f>O73*J73*K73</f>
        <v>0</v>
      </c>
      <c r="N73" s="3"/>
      <c r="O73" s="2">
        <f>L73/J73*(1-K73)</f>
        <v>3200000</v>
      </c>
    </row>
    <row r="74" ht="14.25">
      <c r="A74" s="3" t="s">
        <v>96</v>
      </c>
      <c r="B74" s="3" t="s">
        <v>118</v>
      </c>
      <c r="C74" s="3" t="s">
        <v>119</v>
      </c>
      <c r="D74" s="3" t="s">
        <v>17</v>
      </c>
      <c r="E74" s="3" t="s">
        <v>34</v>
      </c>
      <c r="F74" s="3" t="s">
        <v>19</v>
      </c>
      <c r="G74" s="4">
        <v>0</v>
      </c>
      <c r="H74" s="4">
        <v>24820638</v>
      </c>
      <c r="I74" s="3" t="s">
        <v>122</v>
      </c>
      <c r="J74" s="4">
        <v>8</v>
      </c>
      <c r="K74" s="3" t="s">
        <v>21</v>
      </c>
      <c r="L74" s="4">
        <v>1440000</v>
      </c>
      <c r="M74" s="1">
        <f>O74*J74*K74</f>
        <v>0</v>
      </c>
      <c r="N74" s="3"/>
      <c r="O74" s="2">
        <f>L74/J74*(1-K74)</f>
        <v>180000</v>
      </c>
    </row>
    <row r="75" ht="14.25">
      <c r="A75" s="3" t="s">
        <v>96</v>
      </c>
      <c r="B75" s="3" t="s">
        <v>118</v>
      </c>
      <c r="C75" s="3" t="s">
        <v>119</v>
      </c>
      <c r="D75" s="3" t="s">
        <v>17</v>
      </c>
      <c r="E75" s="3" t="s">
        <v>34</v>
      </c>
      <c r="F75" s="3" t="s">
        <v>19</v>
      </c>
      <c r="G75" s="4">
        <v>0</v>
      </c>
      <c r="H75" s="4">
        <v>24820638</v>
      </c>
      <c r="I75" s="3" t="s">
        <v>47</v>
      </c>
      <c r="J75" s="4">
        <v>48</v>
      </c>
      <c r="K75" s="3" t="s">
        <v>21</v>
      </c>
      <c r="L75" s="4">
        <v>1608000</v>
      </c>
      <c r="M75" s="1">
        <f>O75*J75*K75</f>
        <v>0</v>
      </c>
      <c r="N75" s="3"/>
      <c r="O75" s="2">
        <f>L75/J75*(1-K75)</f>
        <v>33500</v>
      </c>
    </row>
    <row r="76" ht="14.25">
      <c r="A76" s="3" t="s">
        <v>96</v>
      </c>
      <c r="B76" s="3" t="s">
        <v>118</v>
      </c>
      <c r="C76" s="3" t="s">
        <v>119</v>
      </c>
      <c r="D76" s="3" t="s">
        <v>17</v>
      </c>
      <c r="E76" s="3" t="s">
        <v>34</v>
      </c>
      <c r="F76" s="3" t="s">
        <v>19</v>
      </c>
      <c r="G76" s="4">
        <v>0</v>
      </c>
      <c r="H76" s="4">
        <v>24820638</v>
      </c>
      <c r="I76" s="3" t="s">
        <v>123</v>
      </c>
      <c r="J76" s="4">
        <v>5</v>
      </c>
      <c r="K76" s="3" t="s">
        <v>21</v>
      </c>
      <c r="L76" s="4">
        <v>1700000</v>
      </c>
      <c r="M76" s="1">
        <f>O76*J76*K76</f>
        <v>0</v>
      </c>
      <c r="N76" s="3"/>
      <c r="O76" s="2">
        <f>L76/J76*(1-K76)</f>
        <v>340000</v>
      </c>
    </row>
    <row r="77" ht="14.25">
      <c r="A77" s="3" t="s">
        <v>96</v>
      </c>
      <c r="B77" s="3" t="s">
        <v>118</v>
      </c>
      <c r="C77" s="3" t="s">
        <v>119</v>
      </c>
      <c r="D77" s="3" t="s">
        <v>17</v>
      </c>
      <c r="E77" s="3" t="s">
        <v>34</v>
      </c>
      <c r="F77" s="3" t="s">
        <v>19</v>
      </c>
      <c r="G77" s="4">
        <v>0</v>
      </c>
      <c r="H77" s="4">
        <v>24820638</v>
      </c>
      <c r="I77" s="3" t="s">
        <v>124</v>
      </c>
      <c r="J77" s="4">
        <v>36</v>
      </c>
      <c r="K77" s="3" t="s">
        <v>21</v>
      </c>
      <c r="L77" s="4">
        <v>792000</v>
      </c>
      <c r="M77" s="1">
        <f>O77*J77*K77</f>
        <v>0</v>
      </c>
      <c r="N77" s="3"/>
      <c r="O77" s="2">
        <f>L77/J77*(1-K77)</f>
        <v>22000</v>
      </c>
    </row>
    <row r="78" ht="14.25">
      <c r="A78" s="3" t="s">
        <v>96</v>
      </c>
      <c r="B78" s="3" t="s">
        <v>118</v>
      </c>
      <c r="C78" s="3" t="s">
        <v>119</v>
      </c>
      <c r="D78" s="3" t="s">
        <v>17</v>
      </c>
      <c r="E78" s="3" t="s">
        <v>34</v>
      </c>
      <c r="F78" s="3" t="s">
        <v>19</v>
      </c>
      <c r="G78" s="4">
        <v>0</v>
      </c>
      <c r="H78" s="4">
        <v>24820638</v>
      </c>
      <c r="I78" s="3" t="s">
        <v>37</v>
      </c>
      <c r="J78" s="4">
        <v>36</v>
      </c>
      <c r="K78" s="3" t="s">
        <v>21</v>
      </c>
      <c r="L78" s="4">
        <v>792000</v>
      </c>
      <c r="M78" s="1">
        <f>O78*J78*K78</f>
        <v>0</v>
      </c>
      <c r="N78" s="3"/>
      <c r="O78" s="2">
        <f>L78/J78*(1-K78)</f>
        <v>22000</v>
      </c>
    </row>
    <row r="79" ht="14.25">
      <c r="A79" s="3" t="s">
        <v>96</v>
      </c>
      <c r="B79" s="3" t="s">
        <v>118</v>
      </c>
      <c r="C79" s="3" t="s">
        <v>119</v>
      </c>
      <c r="D79" s="3" t="s">
        <v>17</v>
      </c>
      <c r="E79" s="3" t="s">
        <v>34</v>
      </c>
      <c r="F79" s="3" t="s">
        <v>19</v>
      </c>
      <c r="G79" s="4">
        <v>0</v>
      </c>
      <c r="H79" s="4">
        <v>24820638</v>
      </c>
      <c r="I79" s="3" t="s">
        <v>125</v>
      </c>
      <c r="J79" s="4">
        <v>3</v>
      </c>
      <c r="K79" s="3" t="s">
        <v>21</v>
      </c>
      <c r="L79" s="4">
        <v>739662</v>
      </c>
      <c r="M79" s="1">
        <f>O79*J79*K79</f>
        <v>0</v>
      </c>
      <c r="N79" s="3"/>
      <c r="O79" s="2">
        <f>L79/J79*(1-K79)</f>
        <v>246554</v>
      </c>
    </row>
    <row r="80" ht="14.25">
      <c r="A80" s="3" t="s">
        <v>96</v>
      </c>
      <c r="B80" s="3" t="s">
        <v>118</v>
      </c>
      <c r="C80" s="3" t="s">
        <v>119</v>
      </c>
      <c r="D80" s="3" t="s">
        <v>17</v>
      </c>
      <c r="E80" s="3" t="s">
        <v>34</v>
      </c>
      <c r="F80" s="3" t="s">
        <v>19</v>
      </c>
      <c r="G80" s="4">
        <v>0</v>
      </c>
      <c r="H80" s="4">
        <v>24820638</v>
      </c>
      <c r="I80" s="3" t="s">
        <v>126</v>
      </c>
      <c r="J80" s="4">
        <v>4</v>
      </c>
      <c r="K80" s="3" t="s">
        <v>21</v>
      </c>
      <c r="L80" s="4">
        <v>940440</v>
      </c>
      <c r="M80" s="1">
        <f>O80*J80*K80</f>
        <v>0</v>
      </c>
      <c r="N80" s="3"/>
      <c r="O80" s="2">
        <f>L80/J80*(1-K80)</f>
        <v>235110</v>
      </c>
    </row>
    <row r="81" ht="14.25">
      <c r="A81" s="3" t="s">
        <v>96</v>
      </c>
      <c r="B81" s="3" t="s">
        <v>118</v>
      </c>
      <c r="C81" s="3" t="s">
        <v>119</v>
      </c>
      <c r="D81" s="3" t="s">
        <v>17</v>
      </c>
      <c r="E81" s="3" t="s">
        <v>34</v>
      </c>
      <c r="F81" s="3" t="s">
        <v>19</v>
      </c>
      <c r="G81" s="4">
        <v>0</v>
      </c>
      <c r="H81" s="4">
        <v>24820638</v>
      </c>
      <c r="I81" s="3" t="s">
        <v>127</v>
      </c>
      <c r="J81" s="4">
        <v>6</v>
      </c>
      <c r="K81" s="3" t="s">
        <v>21</v>
      </c>
      <c r="L81" s="4">
        <v>996360</v>
      </c>
      <c r="M81" s="1">
        <f>O81*J81*K81</f>
        <v>0</v>
      </c>
      <c r="N81" s="3"/>
      <c r="O81" s="2">
        <f>L81/J81*(1-K81)</f>
        <v>166060</v>
      </c>
    </row>
    <row r="82" ht="14.25">
      <c r="A82" s="3" t="s">
        <v>96</v>
      </c>
      <c r="B82" s="3" t="s">
        <v>118</v>
      </c>
      <c r="C82" s="3" t="s">
        <v>119</v>
      </c>
      <c r="D82" s="3" t="s">
        <v>17</v>
      </c>
      <c r="E82" s="3" t="s">
        <v>34</v>
      </c>
      <c r="F82" s="3" t="s">
        <v>19</v>
      </c>
      <c r="G82" s="4">
        <v>0</v>
      </c>
      <c r="H82" s="4">
        <v>24820638</v>
      </c>
      <c r="I82" s="3" t="s">
        <v>55</v>
      </c>
      <c r="J82" s="4">
        <v>4</v>
      </c>
      <c r="K82" s="3" t="s">
        <v>21</v>
      </c>
      <c r="L82" s="4">
        <v>812176</v>
      </c>
      <c r="M82" s="1">
        <f>O82*J82*K82</f>
        <v>0</v>
      </c>
      <c r="N82" s="3"/>
      <c r="O82" s="2">
        <f>L82/J82*(1-K82)</f>
        <v>203044</v>
      </c>
    </row>
    <row r="83" ht="14.25">
      <c r="A83" s="3" t="s">
        <v>96</v>
      </c>
      <c r="B83" s="3" t="s">
        <v>118</v>
      </c>
      <c r="C83" s="3" t="s">
        <v>128</v>
      </c>
      <c r="D83" s="3" t="s">
        <v>17</v>
      </c>
      <c r="E83" s="3" t="s">
        <v>34</v>
      </c>
      <c r="F83" s="3" t="s">
        <v>19</v>
      </c>
      <c r="G83" s="4">
        <v>0</v>
      </c>
      <c r="H83" s="4">
        <v>3201040</v>
      </c>
      <c r="I83" s="3" t="s">
        <v>129</v>
      </c>
      <c r="J83" s="4">
        <v>40</v>
      </c>
      <c r="K83" s="3" t="s">
        <v>21</v>
      </c>
      <c r="L83" s="4">
        <v>2949040</v>
      </c>
      <c r="M83" s="1">
        <f>O83*J83*K83</f>
        <v>0</v>
      </c>
      <c r="N83" s="3"/>
      <c r="O83" s="2">
        <f>L83/J83*(1-K83)</f>
        <v>73726</v>
      </c>
    </row>
    <row r="84" ht="14.25">
      <c r="A84" s="3" t="s">
        <v>96</v>
      </c>
      <c r="B84" s="3" t="s">
        <v>118</v>
      </c>
      <c r="C84" s="3" t="s">
        <v>128</v>
      </c>
      <c r="D84" s="3" t="s">
        <v>17</v>
      </c>
      <c r="E84" s="3" t="s">
        <v>34</v>
      </c>
      <c r="F84" s="3" t="s">
        <v>19</v>
      </c>
      <c r="G84" s="4">
        <v>0</v>
      </c>
      <c r="H84" s="4">
        <v>3201040</v>
      </c>
      <c r="I84" s="3" t="s">
        <v>130</v>
      </c>
      <c r="J84" s="4">
        <v>20</v>
      </c>
      <c r="K84" s="3" t="s">
        <v>21</v>
      </c>
      <c r="L84" s="4">
        <v>96000</v>
      </c>
      <c r="M84" s="1">
        <f>O84*J84*K84</f>
        <v>0</v>
      </c>
      <c r="N84" s="3"/>
      <c r="O84" s="2">
        <f>L84/J84*(1-K84)</f>
        <v>4800</v>
      </c>
    </row>
    <row r="85" ht="14.25">
      <c r="A85" s="3" t="s">
        <v>96</v>
      </c>
      <c r="B85" s="3" t="s">
        <v>118</v>
      </c>
      <c r="C85" s="3" t="s">
        <v>128</v>
      </c>
      <c r="D85" s="3" t="s">
        <v>17</v>
      </c>
      <c r="E85" s="3" t="s">
        <v>34</v>
      </c>
      <c r="F85" s="3" t="s">
        <v>19</v>
      </c>
      <c r="G85" s="4">
        <v>0</v>
      </c>
      <c r="H85" s="4">
        <v>3201040</v>
      </c>
      <c r="I85" s="3" t="s">
        <v>131</v>
      </c>
      <c r="J85" s="4">
        <v>20</v>
      </c>
      <c r="K85" s="3" t="s">
        <v>21</v>
      </c>
      <c r="L85" s="4">
        <v>94000</v>
      </c>
      <c r="M85" s="1">
        <f>O85*J85*K85</f>
        <v>0</v>
      </c>
      <c r="N85" s="3"/>
      <c r="O85" s="2">
        <f>L85/J85*(1-K85)</f>
        <v>4700</v>
      </c>
    </row>
    <row r="86" ht="14.25">
      <c r="A86" s="3" t="s">
        <v>96</v>
      </c>
      <c r="B86" s="3" t="s">
        <v>118</v>
      </c>
      <c r="C86" s="3" t="s">
        <v>128</v>
      </c>
      <c r="D86" s="3" t="s">
        <v>17</v>
      </c>
      <c r="E86" s="3" t="s">
        <v>34</v>
      </c>
      <c r="F86" s="3" t="s">
        <v>19</v>
      </c>
      <c r="G86" s="4">
        <v>0</v>
      </c>
      <c r="H86" s="4">
        <v>3201040</v>
      </c>
      <c r="I86" s="3" t="s">
        <v>132</v>
      </c>
      <c r="J86" s="4">
        <v>10</v>
      </c>
      <c r="K86" s="3" t="s">
        <v>21</v>
      </c>
      <c r="L86" s="4">
        <v>62000</v>
      </c>
      <c r="M86" s="1">
        <f>O86*J86*K86</f>
        <v>0</v>
      </c>
      <c r="N86" s="3"/>
      <c r="O86" s="2">
        <f>L86/J86*(1-K86)</f>
        <v>6200</v>
      </c>
    </row>
    <row r="87" ht="14.25">
      <c r="A87" s="3" t="s">
        <v>96</v>
      </c>
      <c r="B87" s="3" t="s">
        <v>118</v>
      </c>
      <c r="C87" s="3" t="s">
        <v>133</v>
      </c>
      <c r="D87" s="3" t="s">
        <v>17</v>
      </c>
      <c r="E87" s="3" t="s">
        <v>134</v>
      </c>
      <c r="F87" s="3" t="s">
        <v>19</v>
      </c>
      <c r="G87" s="4">
        <v>0</v>
      </c>
      <c r="H87" s="4">
        <v>17391202</v>
      </c>
      <c r="I87" s="3" t="s">
        <v>105</v>
      </c>
      <c r="J87" s="4">
        <v>1</v>
      </c>
      <c r="K87" s="3" t="s">
        <v>21</v>
      </c>
      <c r="L87" s="4">
        <v>5800000</v>
      </c>
      <c r="M87" s="1">
        <f>O87*J87*K87</f>
        <v>0</v>
      </c>
      <c r="N87" s="3"/>
      <c r="O87" s="2">
        <f>L87/J87*(1-K87)</f>
        <v>5800000</v>
      </c>
    </row>
    <row r="88" ht="14.25">
      <c r="A88" s="3" t="s">
        <v>96</v>
      </c>
      <c r="B88" s="3" t="s">
        <v>118</v>
      </c>
      <c r="C88" s="3" t="s">
        <v>133</v>
      </c>
      <c r="D88" s="3" t="s">
        <v>17</v>
      </c>
      <c r="E88" s="3" t="s">
        <v>134</v>
      </c>
      <c r="F88" s="3" t="s">
        <v>19</v>
      </c>
      <c r="G88" s="4">
        <v>0</v>
      </c>
      <c r="H88" s="4">
        <v>17391202</v>
      </c>
      <c r="I88" s="3" t="s">
        <v>135</v>
      </c>
      <c r="J88" s="4">
        <v>5</v>
      </c>
      <c r="K88" s="3" t="s">
        <v>21</v>
      </c>
      <c r="L88" s="4">
        <v>6000000</v>
      </c>
      <c r="M88" s="1">
        <f>O88*J88*K88</f>
        <v>0</v>
      </c>
      <c r="N88" s="3"/>
      <c r="O88" s="2">
        <f>L88/J88*(1-K88)</f>
        <v>1200000</v>
      </c>
    </row>
    <row r="89" ht="14.25">
      <c r="A89" s="3" t="s">
        <v>96</v>
      </c>
      <c r="B89" s="3" t="s">
        <v>118</v>
      </c>
      <c r="C89" s="3" t="s">
        <v>133</v>
      </c>
      <c r="D89" s="3" t="s">
        <v>17</v>
      </c>
      <c r="E89" s="3" t="s">
        <v>134</v>
      </c>
      <c r="F89" s="3" t="s">
        <v>19</v>
      </c>
      <c r="G89" s="4">
        <v>0</v>
      </c>
      <c r="H89" s="4">
        <v>17391202</v>
      </c>
      <c r="I89" s="3" t="s">
        <v>136</v>
      </c>
      <c r="J89" s="4">
        <v>20</v>
      </c>
      <c r="K89" s="3" t="s">
        <v>21</v>
      </c>
      <c r="L89" s="4">
        <v>810960</v>
      </c>
      <c r="M89" s="1">
        <f>O89*J89*K89</f>
        <v>0</v>
      </c>
      <c r="N89" s="3"/>
      <c r="O89" s="2">
        <f>L89/J89*(1-K89)</f>
        <v>40548</v>
      </c>
    </row>
    <row r="90" ht="14.25">
      <c r="A90" s="3" t="s">
        <v>96</v>
      </c>
      <c r="B90" s="3" t="s">
        <v>118</v>
      </c>
      <c r="C90" s="3" t="s">
        <v>133</v>
      </c>
      <c r="D90" s="3" t="s">
        <v>17</v>
      </c>
      <c r="E90" s="3" t="s">
        <v>134</v>
      </c>
      <c r="F90" s="3" t="s">
        <v>19</v>
      </c>
      <c r="G90" s="4">
        <v>0</v>
      </c>
      <c r="H90" s="4">
        <v>17391202</v>
      </c>
      <c r="I90" s="3" t="s">
        <v>137</v>
      </c>
      <c r="J90" s="4">
        <v>4</v>
      </c>
      <c r="K90" s="3" t="s">
        <v>21</v>
      </c>
      <c r="L90" s="4">
        <v>1657632</v>
      </c>
      <c r="M90" s="1">
        <f>O90*J90*K90</f>
        <v>0</v>
      </c>
      <c r="N90" s="3"/>
      <c r="O90" s="2">
        <f>L90/J90*(1-K90)</f>
        <v>414408</v>
      </c>
    </row>
    <row r="91" ht="14.25">
      <c r="A91" s="3" t="s">
        <v>96</v>
      </c>
      <c r="B91" s="3" t="s">
        <v>118</v>
      </c>
      <c r="C91" s="3" t="s">
        <v>133</v>
      </c>
      <c r="D91" s="3" t="s">
        <v>17</v>
      </c>
      <c r="E91" s="3" t="s">
        <v>134</v>
      </c>
      <c r="F91" s="3" t="s">
        <v>19</v>
      </c>
      <c r="G91" s="4">
        <v>0</v>
      </c>
      <c r="H91" s="4">
        <v>17391202</v>
      </c>
      <c r="I91" s="3" t="s">
        <v>66</v>
      </c>
      <c r="J91" s="4">
        <v>2</v>
      </c>
      <c r="K91" s="3" t="s">
        <v>21</v>
      </c>
      <c r="L91" s="4">
        <v>722610</v>
      </c>
      <c r="M91" s="1">
        <f>O91*J91*K91</f>
        <v>0</v>
      </c>
      <c r="N91" s="3"/>
      <c r="O91" s="2">
        <f>L91/J91*(1-K91)</f>
        <v>361305</v>
      </c>
    </row>
    <row r="92" ht="14.25">
      <c r="A92" s="3" t="s">
        <v>96</v>
      </c>
      <c r="B92" s="3" t="s">
        <v>118</v>
      </c>
      <c r="C92" s="3" t="s">
        <v>133</v>
      </c>
      <c r="D92" s="3" t="s">
        <v>17</v>
      </c>
      <c r="E92" s="3" t="s">
        <v>134</v>
      </c>
      <c r="F92" s="3" t="s">
        <v>19</v>
      </c>
      <c r="G92" s="4">
        <v>0</v>
      </c>
      <c r="H92" s="4">
        <v>17391202</v>
      </c>
      <c r="I92" s="3" t="s">
        <v>67</v>
      </c>
      <c r="J92" s="4">
        <v>2</v>
      </c>
      <c r="K92" s="3" t="s">
        <v>21</v>
      </c>
      <c r="L92" s="4">
        <v>2500000</v>
      </c>
      <c r="M92" s="1">
        <f>O92*J92*K92</f>
        <v>0</v>
      </c>
      <c r="N92" s="3"/>
      <c r="O92" s="2">
        <f>L92/J92*(1-K92)</f>
        <v>1250000</v>
      </c>
    </row>
    <row r="93" ht="14.25">
      <c r="A93" s="3" t="s">
        <v>138</v>
      </c>
      <c r="B93" s="3" t="s">
        <v>139</v>
      </c>
      <c r="C93" s="3" t="s">
        <v>140</v>
      </c>
      <c r="D93" s="3" t="s">
        <v>17</v>
      </c>
      <c r="E93" s="3" t="s">
        <v>34</v>
      </c>
      <c r="F93" s="3" t="s">
        <v>19</v>
      </c>
      <c r="G93" s="4">
        <v>0</v>
      </c>
      <c r="H93" s="4">
        <v>15106000</v>
      </c>
      <c r="I93" s="3" t="s">
        <v>35</v>
      </c>
      <c r="J93" s="4">
        <v>2</v>
      </c>
      <c r="K93" s="3" t="s">
        <v>21</v>
      </c>
      <c r="L93" s="4">
        <v>7100000</v>
      </c>
      <c r="M93" s="1">
        <f>O93*J93*K93</f>
        <v>0</v>
      </c>
      <c r="N93" s="3"/>
      <c r="O93" s="2">
        <f>L93/J93*(1-K93)</f>
        <v>3550000</v>
      </c>
    </row>
    <row r="94" ht="14.25">
      <c r="A94" s="3" t="s">
        <v>138</v>
      </c>
      <c r="B94" s="3" t="s">
        <v>139</v>
      </c>
      <c r="C94" s="3" t="s">
        <v>140</v>
      </c>
      <c r="D94" s="3" t="s">
        <v>17</v>
      </c>
      <c r="E94" s="3" t="s">
        <v>34</v>
      </c>
      <c r="F94" s="3" t="s">
        <v>19</v>
      </c>
      <c r="G94" s="4">
        <v>0</v>
      </c>
      <c r="H94" s="4">
        <v>15106000</v>
      </c>
      <c r="I94" s="3" t="s">
        <v>39</v>
      </c>
      <c r="J94" s="4">
        <v>1</v>
      </c>
      <c r="K94" s="3" t="s">
        <v>21</v>
      </c>
      <c r="L94" s="4">
        <v>3200000</v>
      </c>
      <c r="M94" s="1">
        <f>O94*J94*K94</f>
        <v>0</v>
      </c>
      <c r="N94" s="3"/>
      <c r="O94" s="2">
        <f>L94/J94*(1-K94)</f>
        <v>3200000</v>
      </c>
    </row>
    <row r="95" ht="14.25">
      <c r="A95" s="3" t="s">
        <v>138</v>
      </c>
      <c r="B95" s="3" t="s">
        <v>139</v>
      </c>
      <c r="C95" s="3" t="s">
        <v>140</v>
      </c>
      <c r="D95" s="3" t="s">
        <v>17</v>
      </c>
      <c r="E95" s="3" t="s">
        <v>34</v>
      </c>
      <c r="F95" s="3" t="s">
        <v>19</v>
      </c>
      <c r="G95" s="4">
        <v>0</v>
      </c>
      <c r="H95" s="4">
        <v>15106000</v>
      </c>
      <c r="I95" s="3" t="s">
        <v>141</v>
      </c>
      <c r="J95" s="4">
        <v>10</v>
      </c>
      <c r="K95" s="3" t="s">
        <v>21</v>
      </c>
      <c r="L95" s="4">
        <v>3750000</v>
      </c>
      <c r="M95" s="1">
        <f>O95*J95*K95</f>
        <v>0</v>
      </c>
      <c r="N95" s="3"/>
      <c r="O95" s="2">
        <f>L95/J95*(1-K95)</f>
        <v>375000</v>
      </c>
    </row>
    <row r="96" ht="14.25">
      <c r="A96" s="3" t="s">
        <v>138</v>
      </c>
      <c r="B96" s="3" t="s">
        <v>139</v>
      </c>
      <c r="C96" s="3" t="s">
        <v>140</v>
      </c>
      <c r="D96" s="3" t="s">
        <v>17</v>
      </c>
      <c r="E96" s="3" t="s">
        <v>34</v>
      </c>
      <c r="F96" s="3" t="s">
        <v>19</v>
      </c>
      <c r="G96" s="4">
        <v>0</v>
      </c>
      <c r="H96" s="4">
        <v>15106000</v>
      </c>
      <c r="I96" s="3" t="s">
        <v>37</v>
      </c>
      <c r="J96" s="4">
        <v>24</v>
      </c>
      <c r="K96" s="3" t="s">
        <v>21</v>
      </c>
      <c r="L96" s="4">
        <v>528000</v>
      </c>
      <c r="M96" s="1">
        <f>O96*J96*K96</f>
        <v>0</v>
      </c>
      <c r="N96" s="3"/>
      <c r="O96" s="2">
        <f>L96/J96*(1-K96)</f>
        <v>22000</v>
      </c>
    </row>
    <row r="97" ht="14.25">
      <c r="A97" s="3" t="s">
        <v>138</v>
      </c>
      <c r="B97" s="3" t="s">
        <v>139</v>
      </c>
      <c r="C97" s="3" t="s">
        <v>140</v>
      </c>
      <c r="D97" s="3" t="s">
        <v>17</v>
      </c>
      <c r="E97" s="3" t="s">
        <v>34</v>
      </c>
      <c r="F97" s="3" t="s">
        <v>19</v>
      </c>
      <c r="G97" s="4">
        <v>0</v>
      </c>
      <c r="H97" s="4">
        <v>15106000</v>
      </c>
      <c r="I97" s="3" t="s">
        <v>57</v>
      </c>
      <c r="J97" s="4">
        <v>24</v>
      </c>
      <c r="K97" s="3" t="s">
        <v>21</v>
      </c>
      <c r="L97" s="4">
        <v>528000</v>
      </c>
      <c r="M97" s="1">
        <f>O97*J97*K97</f>
        <v>0</v>
      </c>
      <c r="N97" s="3"/>
      <c r="O97" s="2">
        <f>L97/J97*(1-K97)</f>
        <v>22000</v>
      </c>
    </row>
    <row r="98" ht="14.25">
      <c r="A98" s="3" t="s">
        <v>138</v>
      </c>
      <c r="B98" s="3" t="s">
        <v>139</v>
      </c>
      <c r="C98" s="3" t="s">
        <v>142</v>
      </c>
      <c r="D98" s="3" t="s">
        <v>17</v>
      </c>
      <c r="E98" s="3" t="s">
        <v>143</v>
      </c>
      <c r="F98" s="3" t="s">
        <v>19</v>
      </c>
      <c r="G98" s="4">
        <v>0</v>
      </c>
      <c r="H98" s="4">
        <v>3264000</v>
      </c>
      <c r="I98" s="3" t="s">
        <v>144</v>
      </c>
      <c r="J98" s="4">
        <v>48</v>
      </c>
      <c r="K98" s="3" t="s">
        <v>21</v>
      </c>
      <c r="L98" s="4">
        <v>3264000</v>
      </c>
      <c r="M98" s="1">
        <f>O98*J98*K98</f>
        <v>0</v>
      </c>
      <c r="N98" s="3"/>
      <c r="O98" s="2">
        <f>L98/J98*(1-K98)</f>
        <v>68000</v>
      </c>
    </row>
    <row r="99" ht="14.25">
      <c r="A99" s="3" t="s">
        <v>138</v>
      </c>
      <c r="B99" s="3" t="s">
        <v>139</v>
      </c>
      <c r="C99" s="3" t="s">
        <v>145</v>
      </c>
      <c r="D99" s="3" t="s">
        <v>17</v>
      </c>
      <c r="E99" s="3" t="s">
        <v>146</v>
      </c>
      <c r="F99" s="3" t="s">
        <v>19</v>
      </c>
      <c r="G99" s="4">
        <v>0</v>
      </c>
      <c r="H99" s="4">
        <v>650000</v>
      </c>
      <c r="I99" s="3" t="s">
        <v>147</v>
      </c>
      <c r="J99" s="4">
        <v>1</v>
      </c>
      <c r="K99" s="3" t="s">
        <v>21</v>
      </c>
      <c r="L99" s="4">
        <v>650000</v>
      </c>
      <c r="M99" s="1">
        <f>O99*J99*K99</f>
        <v>0</v>
      </c>
      <c r="N99" s="3"/>
      <c r="O99" s="2">
        <f>L99/J99*(1-K99)</f>
        <v>650000</v>
      </c>
    </row>
    <row r="100" ht="14.25">
      <c r="A100" s="3" t="s">
        <v>138</v>
      </c>
      <c r="B100" s="3" t="s">
        <v>139</v>
      </c>
      <c r="C100" s="3" t="s">
        <v>148</v>
      </c>
      <c r="D100" s="3" t="s">
        <v>17</v>
      </c>
      <c r="E100" s="3" t="s">
        <v>149</v>
      </c>
      <c r="F100" s="3" t="s">
        <v>19</v>
      </c>
      <c r="G100" s="4">
        <v>0</v>
      </c>
      <c r="H100" s="4">
        <v>0</v>
      </c>
      <c r="I100" s="3" t="s">
        <v>39</v>
      </c>
      <c r="J100" s="4">
        <v>1</v>
      </c>
      <c r="K100" s="3" t="s">
        <v>21</v>
      </c>
      <c r="L100" s="4">
        <v>0</v>
      </c>
      <c r="M100" s="1">
        <f>O100*J100*K100</f>
        <v>0</v>
      </c>
      <c r="N100" s="3"/>
      <c r="O100" s="2">
        <f>L100/J100*(1-K100)</f>
        <v>0</v>
      </c>
    </row>
    <row r="101" ht="14.25">
      <c r="A101" s="3" t="s">
        <v>138</v>
      </c>
      <c r="B101" s="3" t="s">
        <v>139</v>
      </c>
      <c r="C101" s="3" t="s">
        <v>148</v>
      </c>
      <c r="D101" s="3" t="s">
        <v>17</v>
      </c>
      <c r="E101" s="3" t="s">
        <v>149</v>
      </c>
      <c r="F101" s="3" t="s">
        <v>19</v>
      </c>
      <c r="G101" s="4">
        <v>0</v>
      </c>
      <c r="H101" s="4">
        <v>0</v>
      </c>
      <c r="I101" s="3" t="s">
        <v>90</v>
      </c>
      <c r="J101" s="4">
        <v>8</v>
      </c>
      <c r="K101" s="3" t="s">
        <v>21</v>
      </c>
      <c r="L101" s="4">
        <v>0</v>
      </c>
      <c r="M101" s="1">
        <f>O101*J101*K101</f>
        <v>0</v>
      </c>
      <c r="N101" s="3"/>
      <c r="O101" s="2">
        <f>L101/J101*(1-K101)</f>
        <v>0</v>
      </c>
    </row>
    <row r="102" ht="14.25">
      <c r="A102" s="3" t="s">
        <v>138</v>
      </c>
      <c r="B102" s="3" t="s">
        <v>139</v>
      </c>
      <c r="C102" s="3" t="s">
        <v>148</v>
      </c>
      <c r="D102" s="3" t="s">
        <v>17</v>
      </c>
      <c r="E102" s="3" t="s">
        <v>149</v>
      </c>
      <c r="F102" s="3" t="s">
        <v>19</v>
      </c>
      <c r="G102" s="4">
        <v>0</v>
      </c>
      <c r="H102" s="4">
        <v>0</v>
      </c>
      <c r="I102" s="3" t="s">
        <v>150</v>
      </c>
      <c r="J102" s="4">
        <v>8</v>
      </c>
      <c r="K102" s="3" t="s">
        <v>21</v>
      </c>
      <c r="L102" s="4">
        <v>0</v>
      </c>
      <c r="M102" s="1">
        <f>O102*J102*K102</f>
        <v>0</v>
      </c>
      <c r="N102" s="3"/>
      <c r="O102" s="2">
        <f>L102/J102*(1-K102)</f>
        <v>0</v>
      </c>
    </row>
    <row r="103" ht="14.25">
      <c r="A103" s="3" t="s">
        <v>15</v>
      </c>
      <c r="B103" s="3" t="s">
        <v>151</v>
      </c>
      <c r="C103" s="3" t="s">
        <v>152</v>
      </c>
      <c r="D103" s="3" t="s">
        <v>17</v>
      </c>
      <c r="E103" s="3" t="s">
        <v>153</v>
      </c>
      <c r="F103" s="3" t="s">
        <v>19</v>
      </c>
      <c r="G103" s="4">
        <v>0</v>
      </c>
      <c r="H103" s="4">
        <v>6000000</v>
      </c>
      <c r="I103" s="3" t="s">
        <v>154</v>
      </c>
      <c r="J103" s="4">
        <v>1</v>
      </c>
      <c r="K103" s="3" t="s">
        <v>21</v>
      </c>
      <c r="L103" s="4">
        <v>6000000</v>
      </c>
      <c r="M103" s="1">
        <f>O103*J103*K103</f>
        <v>0</v>
      </c>
      <c r="N103" s="3"/>
      <c r="O103" s="2">
        <f>L103/J103*(1-K103)</f>
        <v>6000000</v>
      </c>
    </row>
    <row r="104" ht="14.25">
      <c r="A104" s="3" t="s">
        <v>15</v>
      </c>
      <c r="B104" s="3" t="s">
        <v>151</v>
      </c>
      <c r="C104" s="3" t="s">
        <v>155</v>
      </c>
      <c r="D104" s="3" t="s">
        <v>17</v>
      </c>
      <c r="E104" s="3" t="s">
        <v>23</v>
      </c>
      <c r="F104" s="3" t="s">
        <v>19</v>
      </c>
      <c r="G104" s="4">
        <v>0</v>
      </c>
      <c r="H104" s="4">
        <v>550000</v>
      </c>
      <c r="I104" s="3" t="s">
        <v>156</v>
      </c>
      <c r="J104" s="4">
        <v>1</v>
      </c>
      <c r="K104" s="3" t="s">
        <v>21</v>
      </c>
      <c r="L104" s="4">
        <v>550000</v>
      </c>
      <c r="M104" s="1">
        <f>O104*J104*K104</f>
        <v>0</v>
      </c>
      <c r="N104" s="3"/>
      <c r="O104" s="2">
        <f>L104/J104*(1-K104)</f>
        <v>550000</v>
      </c>
    </row>
    <row r="105" ht="14.25">
      <c r="A105" s="3" t="s">
        <v>15</v>
      </c>
      <c r="B105" s="3" t="s">
        <v>157</v>
      </c>
      <c r="C105" s="3" t="s">
        <v>158</v>
      </c>
      <c r="D105" s="3" t="s">
        <v>159</v>
      </c>
      <c r="E105" s="3" t="s">
        <v>160</v>
      </c>
      <c r="F105" s="3" t="s">
        <v>19</v>
      </c>
      <c r="G105" s="4">
        <v>8258352</v>
      </c>
      <c r="H105" s="4">
        <v>8258352</v>
      </c>
      <c r="I105" s="3" t="s">
        <v>108</v>
      </c>
      <c r="J105" s="4">
        <v>168</v>
      </c>
      <c r="K105" s="3" t="s">
        <v>21</v>
      </c>
      <c r="L105" s="4">
        <v>3864000</v>
      </c>
      <c r="M105" s="1">
        <f>O105*J105*K105</f>
        <v>0</v>
      </c>
      <c r="N105" s="3"/>
      <c r="O105" s="2">
        <f>L105/J105*(1-K105)</f>
        <v>23000</v>
      </c>
    </row>
    <row r="106" ht="14.25">
      <c r="A106" s="3" t="s">
        <v>15</v>
      </c>
      <c r="B106" s="3" t="s">
        <v>157</v>
      </c>
      <c r="C106" s="3" t="s">
        <v>158</v>
      </c>
      <c r="D106" s="3" t="s">
        <v>159</v>
      </c>
      <c r="E106" s="3" t="s">
        <v>160</v>
      </c>
      <c r="F106" s="3" t="s">
        <v>19</v>
      </c>
      <c r="G106" s="4">
        <v>8258352</v>
      </c>
      <c r="H106" s="4">
        <v>8258352</v>
      </c>
      <c r="I106" s="3" t="s">
        <v>161</v>
      </c>
      <c r="J106" s="4">
        <v>240</v>
      </c>
      <c r="K106" s="3" t="s">
        <v>21</v>
      </c>
      <c r="L106" s="4">
        <v>1440000</v>
      </c>
      <c r="M106" s="1">
        <f>O106*J106*K106</f>
        <v>0</v>
      </c>
      <c r="N106" s="3"/>
      <c r="O106" s="2">
        <f>L106/J106*(1-K106)</f>
        <v>6000</v>
      </c>
    </row>
    <row r="107" ht="14.25">
      <c r="A107" s="3" t="s">
        <v>15</v>
      </c>
      <c r="B107" s="3" t="s">
        <v>157</v>
      </c>
      <c r="C107" s="3" t="s">
        <v>158</v>
      </c>
      <c r="D107" s="3" t="s">
        <v>159</v>
      </c>
      <c r="E107" s="3" t="s">
        <v>160</v>
      </c>
      <c r="F107" s="3" t="s">
        <v>19</v>
      </c>
      <c r="G107" s="4">
        <v>8258352</v>
      </c>
      <c r="H107" s="4">
        <v>8258352</v>
      </c>
      <c r="I107" s="3" t="s">
        <v>162</v>
      </c>
      <c r="J107" s="4">
        <v>96</v>
      </c>
      <c r="K107" s="3" t="s">
        <v>21</v>
      </c>
      <c r="L107" s="4">
        <v>768000</v>
      </c>
      <c r="M107" s="1">
        <f>O107*J107*K107</f>
        <v>0</v>
      </c>
      <c r="N107" s="3"/>
      <c r="O107" s="2">
        <f>L107/J107*(1-K107)</f>
        <v>8000</v>
      </c>
    </row>
    <row r="108" ht="14.25">
      <c r="A108" s="3" t="s">
        <v>15</v>
      </c>
      <c r="B108" s="3" t="s">
        <v>157</v>
      </c>
      <c r="C108" s="3" t="s">
        <v>158</v>
      </c>
      <c r="D108" s="3" t="s">
        <v>159</v>
      </c>
      <c r="E108" s="3" t="s">
        <v>160</v>
      </c>
      <c r="F108" s="3" t="s">
        <v>19</v>
      </c>
      <c r="G108" s="4">
        <v>8258352</v>
      </c>
      <c r="H108" s="4">
        <v>8258352</v>
      </c>
      <c r="I108" s="3" t="s">
        <v>117</v>
      </c>
      <c r="J108" s="4">
        <v>24</v>
      </c>
      <c r="K108" s="3" t="s">
        <v>21</v>
      </c>
      <c r="L108" s="4">
        <v>312000</v>
      </c>
      <c r="M108" s="1">
        <f>O108*J108*K108</f>
        <v>0</v>
      </c>
      <c r="N108" s="3"/>
      <c r="O108" s="2">
        <f>L108/J108*(1-K108)</f>
        <v>13000</v>
      </c>
    </row>
    <row r="109" ht="14.25">
      <c r="A109" s="3" t="s">
        <v>15</v>
      </c>
      <c r="B109" s="3" t="s">
        <v>157</v>
      </c>
      <c r="C109" s="3" t="s">
        <v>158</v>
      </c>
      <c r="D109" s="3" t="s">
        <v>159</v>
      </c>
      <c r="E109" s="3" t="s">
        <v>160</v>
      </c>
      <c r="F109" s="3" t="s">
        <v>19</v>
      </c>
      <c r="G109" s="4">
        <v>8258352</v>
      </c>
      <c r="H109" s="4">
        <v>8258352</v>
      </c>
      <c r="I109" s="3" t="s">
        <v>163</v>
      </c>
      <c r="J109" s="4">
        <v>24</v>
      </c>
      <c r="K109" s="3" t="s">
        <v>21</v>
      </c>
      <c r="L109" s="4">
        <v>698352</v>
      </c>
      <c r="M109" s="1">
        <f>O109*J109*K109</f>
        <v>0</v>
      </c>
      <c r="N109" s="3"/>
      <c r="O109" s="2">
        <f>L109/J109*(1-K109)</f>
        <v>29098</v>
      </c>
    </row>
    <row r="110" ht="14.25">
      <c r="A110" s="3" t="s">
        <v>15</v>
      </c>
      <c r="B110" s="3" t="s">
        <v>157</v>
      </c>
      <c r="C110" s="3" t="s">
        <v>158</v>
      </c>
      <c r="D110" s="3" t="s">
        <v>159</v>
      </c>
      <c r="E110" s="3" t="s">
        <v>160</v>
      </c>
      <c r="F110" s="3" t="s">
        <v>19</v>
      </c>
      <c r="G110" s="4">
        <v>8258352</v>
      </c>
      <c r="H110" s="4">
        <v>8258352</v>
      </c>
      <c r="I110" s="3" t="s">
        <v>164</v>
      </c>
      <c r="J110" s="4">
        <v>24</v>
      </c>
      <c r="K110" s="3" t="s">
        <v>21</v>
      </c>
      <c r="L110" s="4">
        <v>528000</v>
      </c>
      <c r="M110" s="1">
        <f>O110*J110*K110</f>
        <v>0</v>
      </c>
      <c r="N110" s="3"/>
      <c r="O110" s="2">
        <f>L110/J110*(1-K110)</f>
        <v>22000</v>
      </c>
    </row>
    <row r="111" ht="14.25">
      <c r="A111" s="3" t="s">
        <v>15</v>
      </c>
      <c r="B111" s="3" t="s">
        <v>157</v>
      </c>
      <c r="C111" s="3" t="s">
        <v>158</v>
      </c>
      <c r="D111" s="3" t="s">
        <v>159</v>
      </c>
      <c r="E111" s="3" t="s">
        <v>160</v>
      </c>
      <c r="F111" s="3" t="s">
        <v>19</v>
      </c>
      <c r="G111" s="4">
        <v>8258352</v>
      </c>
      <c r="H111" s="4">
        <v>8258352</v>
      </c>
      <c r="I111" s="3" t="s">
        <v>165</v>
      </c>
      <c r="J111" s="4">
        <v>20</v>
      </c>
      <c r="K111" s="3" t="s">
        <v>21</v>
      </c>
      <c r="L111" s="4">
        <v>360000</v>
      </c>
      <c r="M111" s="1">
        <f>O111*J111*K111</f>
        <v>0</v>
      </c>
      <c r="N111" s="3"/>
      <c r="O111" s="2">
        <f>L111/J111*(1-K111)</f>
        <v>18000</v>
      </c>
    </row>
    <row r="112" ht="14.25">
      <c r="A112" s="3" t="s">
        <v>15</v>
      </c>
      <c r="B112" s="3" t="s">
        <v>157</v>
      </c>
      <c r="C112" s="3" t="s">
        <v>158</v>
      </c>
      <c r="D112" s="3" t="s">
        <v>159</v>
      </c>
      <c r="E112" s="3" t="s">
        <v>160</v>
      </c>
      <c r="F112" s="3" t="s">
        <v>19</v>
      </c>
      <c r="G112" s="4">
        <v>8258352</v>
      </c>
      <c r="H112" s="4">
        <v>8258352</v>
      </c>
      <c r="I112" s="3" t="s">
        <v>166</v>
      </c>
      <c r="J112" s="4">
        <v>24</v>
      </c>
      <c r="K112" s="3" t="s">
        <v>21</v>
      </c>
      <c r="L112" s="4">
        <v>288000</v>
      </c>
      <c r="M112" s="1">
        <f>O112*J112*K112</f>
        <v>0</v>
      </c>
      <c r="N112" s="3"/>
      <c r="O112" s="2">
        <f>L112/J112*(1-K112)</f>
        <v>12000</v>
      </c>
    </row>
    <row r="113" ht="14.25">
      <c r="A113" s="3" t="s">
        <v>15</v>
      </c>
      <c r="B113" s="3" t="s">
        <v>151</v>
      </c>
      <c r="C113" s="3" t="s">
        <v>167</v>
      </c>
      <c r="D113" s="3" t="s">
        <v>17</v>
      </c>
      <c r="E113" s="3" t="s">
        <v>168</v>
      </c>
      <c r="F113" s="3" t="s">
        <v>19</v>
      </c>
      <c r="G113" s="4">
        <v>0</v>
      </c>
      <c r="H113" s="4">
        <v>425000</v>
      </c>
      <c r="I113" s="3" t="s">
        <v>90</v>
      </c>
      <c r="J113" s="4">
        <v>1</v>
      </c>
      <c r="K113" s="3" t="s">
        <v>21</v>
      </c>
      <c r="L113" s="4">
        <v>425000</v>
      </c>
      <c r="M113" s="1">
        <f>O113*J113*K113</f>
        <v>0</v>
      </c>
      <c r="N113" s="3"/>
      <c r="O113" s="2">
        <f>L113/J113*(1-K113)</f>
        <v>425000</v>
      </c>
    </row>
    <row r="114" ht="14.25">
      <c r="A114" s="3" t="s">
        <v>15</v>
      </c>
      <c r="B114" s="3" t="s">
        <v>157</v>
      </c>
      <c r="C114" s="3" t="s">
        <v>169</v>
      </c>
      <c r="D114" s="3" t="s">
        <v>17</v>
      </c>
      <c r="E114" s="3" t="s">
        <v>170</v>
      </c>
      <c r="F114" s="3" t="s">
        <v>19</v>
      </c>
      <c r="G114" s="4">
        <v>0</v>
      </c>
      <c r="H114" s="4">
        <v>10370000</v>
      </c>
      <c r="I114" s="3" t="s">
        <v>171</v>
      </c>
      <c r="J114" s="4">
        <v>1</v>
      </c>
      <c r="K114" s="3" t="s">
        <v>21</v>
      </c>
      <c r="L114" s="4">
        <v>5870000</v>
      </c>
      <c r="M114" s="1">
        <f>O114*J114*K114</f>
        <v>0</v>
      </c>
      <c r="N114" s="3"/>
      <c r="O114" s="2">
        <f>L114/J114*(1-K114)</f>
        <v>5870000</v>
      </c>
    </row>
    <row r="115" ht="14.25">
      <c r="A115" s="3" t="s">
        <v>15</v>
      </c>
      <c r="B115" s="3" t="s">
        <v>157</v>
      </c>
      <c r="C115" s="3" t="s">
        <v>169</v>
      </c>
      <c r="D115" s="3" t="s">
        <v>17</v>
      </c>
      <c r="E115" s="3" t="s">
        <v>170</v>
      </c>
      <c r="F115" s="3" t="s">
        <v>19</v>
      </c>
      <c r="G115" s="4">
        <v>0</v>
      </c>
      <c r="H115" s="4">
        <v>10370000</v>
      </c>
      <c r="I115" s="3" t="s">
        <v>147</v>
      </c>
      <c r="J115" s="4">
        <v>3</v>
      </c>
      <c r="K115" s="3" t="s">
        <v>21</v>
      </c>
      <c r="L115" s="4">
        <v>2250000</v>
      </c>
      <c r="M115" s="1">
        <f>O115*J115*K115</f>
        <v>0</v>
      </c>
      <c r="N115" s="3"/>
      <c r="O115" s="2">
        <f>L115/J115*(1-K115)</f>
        <v>750000</v>
      </c>
    </row>
    <row r="116" ht="14.25">
      <c r="A116" s="3" t="s">
        <v>15</v>
      </c>
      <c r="B116" s="3" t="s">
        <v>157</v>
      </c>
      <c r="C116" s="3" t="s">
        <v>169</v>
      </c>
      <c r="D116" s="3" t="s">
        <v>17</v>
      </c>
      <c r="E116" s="3" t="s">
        <v>170</v>
      </c>
      <c r="F116" s="3" t="s">
        <v>19</v>
      </c>
      <c r="G116" s="4">
        <v>0</v>
      </c>
      <c r="H116" s="4">
        <v>10370000</v>
      </c>
      <c r="I116" s="3" t="s">
        <v>172</v>
      </c>
      <c r="J116" s="4">
        <v>3</v>
      </c>
      <c r="K116" s="3" t="s">
        <v>21</v>
      </c>
      <c r="L116" s="4">
        <v>2250000</v>
      </c>
      <c r="M116" s="1">
        <f>O116*J116*K116</f>
        <v>0</v>
      </c>
      <c r="N116" s="3"/>
      <c r="O116" s="2">
        <f>L116/J116*(1-K116)</f>
        <v>750000</v>
      </c>
    </row>
    <row r="117" ht="14.25">
      <c r="A117" s="3" t="s">
        <v>15</v>
      </c>
      <c r="B117" s="3" t="s">
        <v>151</v>
      </c>
      <c r="C117" s="3" t="s">
        <v>173</v>
      </c>
      <c r="D117" s="3" t="s">
        <v>17</v>
      </c>
      <c r="E117" s="3" t="s">
        <v>174</v>
      </c>
      <c r="F117" s="3" t="s">
        <v>19</v>
      </c>
      <c r="G117" s="4">
        <v>0</v>
      </c>
      <c r="H117" s="4">
        <v>13205334</v>
      </c>
      <c r="I117" s="3" t="s">
        <v>175</v>
      </c>
      <c r="J117" s="4">
        <v>10</v>
      </c>
      <c r="K117" s="3" t="s">
        <v>21</v>
      </c>
      <c r="L117" s="4">
        <v>2200000</v>
      </c>
      <c r="M117" s="1">
        <f>O117*J117*K117</f>
        <v>0</v>
      </c>
      <c r="N117" s="3"/>
      <c r="O117" s="2">
        <f>L117/J117*(1-K117)</f>
        <v>220000</v>
      </c>
    </row>
    <row r="118" ht="14.25">
      <c r="A118" s="3" t="s">
        <v>15</v>
      </c>
      <c r="B118" s="3" t="s">
        <v>151</v>
      </c>
      <c r="C118" s="3" t="s">
        <v>173</v>
      </c>
      <c r="D118" s="3" t="s">
        <v>17</v>
      </c>
      <c r="E118" s="3" t="s">
        <v>174</v>
      </c>
      <c r="F118" s="3" t="s">
        <v>19</v>
      </c>
      <c r="G118" s="4">
        <v>0</v>
      </c>
      <c r="H118" s="4">
        <v>13205334</v>
      </c>
      <c r="I118" s="3" t="s">
        <v>176</v>
      </c>
      <c r="J118" s="4">
        <v>10</v>
      </c>
      <c r="K118" s="3" t="s">
        <v>21</v>
      </c>
      <c r="L118" s="4">
        <v>2200000</v>
      </c>
      <c r="M118" s="1">
        <f>O118*J118*K118</f>
        <v>0</v>
      </c>
      <c r="N118" s="3"/>
      <c r="O118" s="2">
        <f>L118/J118*(1-K118)</f>
        <v>220000</v>
      </c>
    </row>
    <row r="119" ht="14.25">
      <c r="A119" s="3" t="s">
        <v>15</v>
      </c>
      <c r="B119" s="3" t="s">
        <v>151</v>
      </c>
      <c r="C119" s="3" t="s">
        <v>173</v>
      </c>
      <c r="D119" s="3" t="s">
        <v>17</v>
      </c>
      <c r="E119" s="3" t="s">
        <v>174</v>
      </c>
      <c r="F119" s="3" t="s">
        <v>19</v>
      </c>
      <c r="G119" s="4">
        <v>0</v>
      </c>
      <c r="H119" s="4">
        <v>13205334</v>
      </c>
      <c r="I119" s="3" t="s">
        <v>177</v>
      </c>
      <c r="J119" s="4">
        <v>6</v>
      </c>
      <c r="K119" s="3" t="s">
        <v>21</v>
      </c>
      <c r="L119" s="4">
        <v>268380</v>
      </c>
      <c r="M119" s="1">
        <f>O119*J119*K119</f>
        <v>0</v>
      </c>
      <c r="N119" s="3"/>
      <c r="O119" s="2">
        <f>L119/J119*(1-K119)</f>
        <v>44730</v>
      </c>
    </row>
    <row r="120" ht="14.25">
      <c r="A120" s="3" t="s">
        <v>15</v>
      </c>
      <c r="B120" s="3" t="s">
        <v>151</v>
      </c>
      <c r="C120" s="3" t="s">
        <v>173</v>
      </c>
      <c r="D120" s="3" t="s">
        <v>17</v>
      </c>
      <c r="E120" s="3" t="s">
        <v>174</v>
      </c>
      <c r="F120" s="3" t="s">
        <v>19</v>
      </c>
      <c r="G120" s="4">
        <v>0</v>
      </c>
      <c r="H120" s="4">
        <v>13205334</v>
      </c>
      <c r="I120" s="3" t="s">
        <v>178</v>
      </c>
      <c r="J120" s="4">
        <v>6</v>
      </c>
      <c r="K120" s="3" t="s">
        <v>21</v>
      </c>
      <c r="L120" s="4">
        <v>338148</v>
      </c>
      <c r="M120" s="1">
        <f>O120*J120*K120</f>
        <v>0</v>
      </c>
      <c r="N120" s="3"/>
      <c r="O120" s="2">
        <f>L120/J120*(1-K120)</f>
        <v>56358</v>
      </c>
    </row>
    <row r="121" ht="14.25">
      <c r="A121" s="3" t="s">
        <v>15</v>
      </c>
      <c r="B121" s="3" t="s">
        <v>151</v>
      </c>
      <c r="C121" s="3" t="s">
        <v>173</v>
      </c>
      <c r="D121" s="3" t="s">
        <v>17</v>
      </c>
      <c r="E121" s="3" t="s">
        <v>174</v>
      </c>
      <c r="F121" s="3" t="s">
        <v>19</v>
      </c>
      <c r="G121" s="4">
        <v>0</v>
      </c>
      <c r="H121" s="4">
        <v>13205334</v>
      </c>
      <c r="I121" s="3" t="s">
        <v>179</v>
      </c>
      <c r="J121" s="4">
        <v>10</v>
      </c>
      <c r="K121" s="3" t="s">
        <v>21</v>
      </c>
      <c r="L121" s="4">
        <v>2300000</v>
      </c>
      <c r="M121" s="1">
        <f>O121*J121*K121</f>
        <v>0</v>
      </c>
      <c r="N121" s="3"/>
      <c r="O121" s="2">
        <f>L121/J121*(1-K121)</f>
        <v>230000</v>
      </c>
    </row>
    <row r="122" ht="14.25">
      <c r="A122" s="3" t="s">
        <v>15</v>
      </c>
      <c r="B122" s="3" t="s">
        <v>151</v>
      </c>
      <c r="C122" s="3" t="s">
        <v>173</v>
      </c>
      <c r="D122" s="3" t="s">
        <v>17</v>
      </c>
      <c r="E122" s="3" t="s">
        <v>174</v>
      </c>
      <c r="F122" s="3" t="s">
        <v>19</v>
      </c>
      <c r="G122" s="4">
        <v>0</v>
      </c>
      <c r="H122" s="4">
        <v>13205334</v>
      </c>
      <c r="I122" s="3" t="s">
        <v>180</v>
      </c>
      <c r="J122" s="4">
        <v>6</v>
      </c>
      <c r="K122" s="3" t="s">
        <v>21</v>
      </c>
      <c r="L122" s="4">
        <v>219852</v>
      </c>
      <c r="M122" s="1">
        <f>O122*J122*K122</f>
        <v>0</v>
      </c>
      <c r="N122" s="3"/>
      <c r="O122" s="2">
        <f>L122/J122*(1-K122)</f>
        <v>36642</v>
      </c>
    </row>
    <row r="123" ht="14.25">
      <c r="A123" s="3" t="s">
        <v>15</v>
      </c>
      <c r="B123" s="3" t="s">
        <v>151</v>
      </c>
      <c r="C123" s="3" t="s">
        <v>173</v>
      </c>
      <c r="D123" s="3" t="s">
        <v>17</v>
      </c>
      <c r="E123" s="3" t="s">
        <v>174</v>
      </c>
      <c r="F123" s="3" t="s">
        <v>19</v>
      </c>
      <c r="G123" s="4">
        <v>0</v>
      </c>
      <c r="H123" s="4">
        <v>13205334</v>
      </c>
      <c r="I123" s="3" t="s">
        <v>181</v>
      </c>
      <c r="J123" s="4">
        <v>6</v>
      </c>
      <c r="K123" s="3" t="s">
        <v>21</v>
      </c>
      <c r="L123" s="4">
        <v>214830</v>
      </c>
      <c r="M123" s="1">
        <f>O123*J123*K123</f>
        <v>0</v>
      </c>
      <c r="N123" s="3"/>
      <c r="O123" s="2">
        <f>L123/J123*(1-K123)</f>
        <v>35805</v>
      </c>
    </row>
    <row r="124" ht="14.25">
      <c r="A124" s="3" t="s">
        <v>15</v>
      </c>
      <c r="B124" s="3" t="s">
        <v>151</v>
      </c>
      <c r="C124" s="3" t="s">
        <v>173</v>
      </c>
      <c r="D124" s="3" t="s">
        <v>17</v>
      </c>
      <c r="E124" s="3" t="s">
        <v>174</v>
      </c>
      <c r="F124" s="3" t="s">
        <v>19</v>
      </c>
      <c r="G124" s="4">
        <v>0</v>
      </c>
      <c r="H124" s="4">
        <v>13205334</v>
      </c>
      <c r="I124" s="3" t="s">
        <v>182</v>
      </c>
      <c r="J124" s="4">
        <v>4</v>
      </c>
      <c r="K124" s="3" t="s">
        <v>21</v>
      </c>
      <c r="L124" s="4">
        <v>1324580</v>
      </c>
      <c r="M124" s="1">
        <f>O124*J124*K124</f>
        <v>0</v>
      </c>
      <c r="N124" s="3"/>
      <c r="O124" s="2">
        <f>L124/J124*(1-K124)</f>
        <v>331145</v>
      </c>
    </row>
    <row r="125" ht="14.25">
      <c r="A125" s="3" t="s">
        <v>15</v>
      </c>
      <c r="B125" s="3" t="s">
        <v>151</v>
      </c>
      <c r="C125" s="3" t="s">
        <v>173</v>
      </c>
      <c r="D125" s="3" t="s">
        <v>17</v>
      </c>
      <c r="E125" s="3" t="s">
        <v>174</v>
      </c>
      <c r="F125" s="3" t="s">
        <v>19</v>
      </c>
      <c r="G125" s="4">
        <v>0</v>
      </c>
      <c r="H125" s="4">
        <v>13205334</v>
      </c>
      <c r="I125" s="3" t="s">
        <v>183</v>
      </c>
      <c r="J125" s="4">
        <v>12</v>
      </c>
      <c r="K125" s="3" t="s">
        <v>21</v>
      </c>
      <c r="L125" s="4">
        <v>1007340</v>
      </c>
      <c r="M125" s="1">
        <f>O125*J125*K125</f>
        <v>0</v>
      </c>
      <c r="N125" s="3"/>
      <c r="O125" s="2">
        <f>L125/J125*(1-K125)</f>
        <v>83945</v>
      </c>
    </row>
    <row r="126" ht="14.25">
      <c r="A126" s="3" t="s">
        <v>15</v>
      </c>
      <c r="B126" s="3" t="s">
        <v>151</v>
      </c>
      <c r="C126" s="3" t="s">
        <v>173</v>
      </c>
      <c r="D126" s="3" t="s">
        <v>17</v>
      </c>
      <c r="E126" s="3" t="s">
        <v>174</v>
      </c>
      <c r="F126" s="3" t="s">
        <v>19</v>
      </c>
      <c r="G126" s="4">
        <v>0</v>
      </c>
      <c r="H126" s="4">
        <v>13205334</v>
      </c>
      <c r="I126" s="3" t="s">
        <v>184</v>
      </c>
      <c r="J126" s="4">
        <v>12</v>
      </c>
      <c r="K126" s="3" t="s">
        <v>21</v>
      </c>
      <c r="L126" s="4">
        <v>600000</v>
      </c>
      <c r="M126" s="1">
        <f>O126*J126*K126</f>
        <v>0</v>
      </c>
      <c r="N126" s="3"/>
      <c r="O126" s="2">
        <f>L126/J126*(1-K126)</f>
        <v>50000</v>
      </c>
    </row>
    <row r="127" ht="14.25">
      <c r="A127" s="3" t="s">
        <v>15</v>
      </c>
      <c r="B127" s="3" t="s">
        <v>151</v>
      </c>
      <c r="C127" s="3" t="s">
        <v>173</v>
      </c>
      <c r="D127" s="3" t="s">
        <v>17</v>
      </c>
      <c r="E127" s="3" t="s">
        <v>174</v>
      </c>
      <c r="F127" s="3" t="s">
        <v>19</v>
      </c>
      <c r="G127" s="4">
        <v>0</v>
      </c>
      <c r="H127" s="4">
        <v>13205334</v>
      </c>
      <c r="I127" s="3" t="s">
        <v>185</v>
      </c>
      <c r="J127" s="4">
        <v>6</v>
      </c>
      <c r="K127" s="3" t="s">
        <v>21</v>
      </c>
      <c r="L127" s="4">
        <v>1086984</v>
      </c>
      <c r="M127" s="1">
        <f>O127*J127*K127</f>
        <v>0</v>
      </c>
      <c r="N127" s="3"/>
      <c r="O127" s="2">
        <f>L127/J127*(1-K127)</f>
        <v>181164</v>
      </c>
    </row>
    <row r="128" ht="14.25">
      <c r="A128" s="3" t="s">
        <v>15</v>
      </c>
      <c r="B128" s="3" t="s">
        <v>151</v>
      </c>
      <c r="C128" s="3" t="s">
        <v>173</v>
      </c>
      <c r="D128" s="3" t="s">
        <v>17</v>
      </c>
      <c r="E128" s="3" t="s">
        <v>174</v>
      </c>
      <c r="F128" s="3" t="s">
        <v>19</v>
      </c>
      <c r="G128" s="4">
        <v>0</v>
      </c>
      <c r="H128" s="4">
        <v>13205334</v>
      </c>
      <c r="I128" s="3" t="s">
        <v>67</v>
      </c>
      <c r="J128" s="4">
        <v>4</v>
      </c>
      <c r="K128" s="3" t="s">
        <v>21</v>
      </c>
      <c r="L128" s="4">
        <v>1445220</v>
      </c>
      <c r="M128" s="1">
        <f>O128*J128*K128</f>
        <v>0</v>
      </c>
      <c r="N128" s="3"/>
      <c r="O128" s="2">
        <f>L128/J128*(1-K128)</f>
        <v>361305</v>
      </c>
    </row>
    <row r="129" ht="14.25">
      <c r="A129" s="3" t="s">
        <v>15</v>
      </c>
      <c r="B129" s="3" t="s">
        <v>151</v>
      </c>
      <c r="C129" s="3" t="s">
        <v>186</v>
      </c>
      <c r="D129" s="3" t="s">
        <v>17</v>
      </c>
      <c r="E129" s="3" t="s">
        <v>174</v>
      </c>
      <c r="F129" s="3" t="s">
        <v>19</v>
      </c>
      <c r="G129" s="4">
        <v>0</v>
      </c>
      <c r="H129" s="4">
        <v>5041712</v>
      </c>
      <c r="I129" s="3" t="s">
        <v>187</v>
      </c>
      <c r="J129" s="4">
        <v>20</v>
      </c>
      <c r="K129" s="3" t="s">
        <v>21</v>
      </c>
      <c r="L129" s="4">
        <v>918840</v>
      </c>
      <c r="M129" s="1">
        <f>O129*J129*K129</f>
        <v>0</v>
      </c>
      <c r="N129" s="3"/>
      <c r="O129" s="2">
        <f>L129/J129*(1-K129)</f>
        <v>45942</v>
      </c>
    </row>
    <row r="130" ht="14.25">
      <c r="A130" s="3" t="s">
        <v>15</v>
      </c>
      <c r="B130" s="3" t="s">
        <v>151</v>
      </c>
      <c r="C130" s="3" t="s">
        <v>186</v>
      </c>
      <c r="D130" s="3" t="s">
        <v>17</v>
      </c>
      <c r="E130" s="3" t="s">
        <v>174</v>
      </c>
      <c r="F130" s="3" t="s">
        <v>19</v>
      </c>
      <c r="G130" s="4">
        <v>0</v>
      </c>
      <c r="H130" s="4">
        <v>5041712</v>
      </c>
      <c r="I130" s="3" t="s">
        <v>188</v>
      </c>
      <c r="J130" s="4">
        <v>4</v>
      </c>
      <c r="K130" s="3" t="s">
        <v>21</v>
      </c>
      <c r="L130" s="4">
        <v>997040</v>
      </c>
      <c r="M130" s="1">
        <f>O130*J130*K130</f>
        <v>0</v>
      </c>
      <c r="N130" s="3"/>
      <c r="O130" s="2">
        <f>L130/J130*(1-K130)</f>
        <v>249260</v>
      </c>
    </row>
    <row r="131" ht="14.25">
      <c r="A131" s="3" t="s">
        <v>15</v>
      </c>
      <c r="B131" s="3" t="s">
        <v>151</v>
      </c>
      <c r="C131" s="3" t="s">
        <v>186</v>
      </c>
      <c r="D131" s="3" t="s">
        <v>17</v>
      </c>
      <c r="E131" s="3" t="s">
        <v>174</v>
      </c>
      <c r="F131" s="3" t="s">
        <v>19</v>
      </c>
      <c r="G131" s="4">
        <v>0</v>
      </c>
      <c r="H131" s="4">
        <v>5041712</v>
      </c>
      <c r="I131" s="3" t="s">
        <v>125</v>
      </c>
      <c r="J131" s="4">
        <v>6</v>
      </c>
      <c r="K131" s="3" t="s">
        <v>21</v>
      </c>
      <c r="L131" s="4">
        <v>1493832</v>
      </c>
      <c r="M131" s="1">
        <f>O131*J131*K131</f>
        <v>0</v>
      </c>
      <c r="N131" s="3"/>
      <c r="O131" s="2">
        <f>L131/J131*(1-K131)</f>
        <v>248972</v>
      </c>
    </row>
    <row r="132" ht="14.25">
      <c r="A132" s="3" t="s">
        <v>15</v>
      </c>
      <c r="B132" s="3" t="s">
        <v>151</v>
      </c>
      <c r="C132" s="3" t="s">
        <v>186</v>
      </c>
      <c r="D132" s="3" t="s">
        <v>17</v>
      </c>
      <c r="E132" s="3" t="s">
        <v>174</v>
      </c>
      <c r="F132" s="3" t="s">
        <v>19</v>
      </c>
      <c r="G132" s="4">
        <v>0</v>
      </c>
      <c r="H132" s="4">
        <v>5041712</v>
      </c>
      <c r="I132" s="3" t="s">
        <v>144</v>
      </c>
      <c r="J132" s="4">
        <v>24</v>
      </c>
      <c r="K132" s="3" t="s">
        <v>21</v>
      </c>
      <c r="L132" s="4">
        <v>1632000</v>
      </c>
      <c r="M132" s="1">
        <f>O132*J132*K132</f>
        <v>0</v>
      </c>
      <c r="N132" s="3"/>
      <c r="O132" s="2">
        <f>L132/J132*(1-K132)</f>
        <v>68000</v>
      </c>
    </row>
    <row r="133" ht="14.25">
      <c r="A133" s="3" t="s">
        <v>26</v>
      </c>
      <c r="B133" s="3" t="s">
        <v>189</v>
      </c>
      <c r="C133" s="3" t="s">
        <v>190</v>
      </c>
      <c r="D133" s="3" t="s">
        <v>17</v>
      </c>
      <c r="E133" s="3" t="s">
        <v>191</v>
      </c>
      <c r="F133" s="3" t="s">
        <v>19</v>
      </c>
      <c r="G133" s="4">
        <v>0</v>
      </c>
      <c r="H133" s="4">
        <v>2300000</v>
      </c>
      <c r="I133" s="3" t="s">
        <v>179</v>
      </c>
      <c r="J133" s="4">
        <v>10</v>
      </c>
      <c r="K133" s="3" t="s">
        <v>21</v>
      </c>
      <c r="L133" s="4">
        <v>2300000</v>
      </c>
      <c r="M133" s="1">
        <f>O133*J133*K133</f>
        <v>0</v>
      </c>
      <c r="N133" s="3"/>
      <c r="O133" s="2">
        <f>L133/J133*(1-K133)</f>
        <v>230000</v>
      </c>
    </row>
    <row r="134" ht="14.25">
      <c r="A134" s="3" t="s">
        <v>26</v>
      </c>
      <c r="B134" s="3" t="s">
        <v>192</v>
      </c>
      <c r="C134" s="3" t="s">
        <v>193</v>
      </c>
      <c r="D134" s="3" t="s">
        <v>17</v>
      </c>
      <c r="E134" s="3" t="s">
        <v>34</v>
      </c>
      <c r="F134" s="3" t="s">
        <v>19</v>
      </c>
      <c r="G134" s="4">
        <v>0</v>
      </c>
      <c r="H134" s="4">
        <v>21018664</v>
      </c>
      <c r="I134" s="3" t="s">
        <v>35</v>
      </c>
      <c r="J134" s="4">
        <v>2</v>
      </c>
      <c r="K134" s="3" t="s">
        <v>21</v>
      </c>
      <c r="L134" s="4">
        <v>7100000</v>
      </c>
      <c r="M134" s="1">
        <f>O134*J134*K134</f>
        <v>0</v>
      </c>
      <c r="N134" s="3"/>
      <c r="O134" s="2">
        <f>L134/J134*(1-K134)</f>
        <v>3550000</v>
      </c>
    </row>
    <row r="135" ht="14.25">
      <c r="A135" s="3" t="s">
        <v>26</v>
      </c>
      <c r="B135" s="3" t="s">
        <v>192</v>
      </c>
      <c r="C135" s="3" t="s">
        <v>193</v>
      </c>
      <c r="D135" s="3" t="s">
        <v>17</v>
      </c>
      <c r="E135" s="3" t="s">
        <v>34</v>
      </c>
      <c r="F135" s="3" t="s">
        <v>19</v>
      </c>
      <c r="G135" s="4">
        <v>0</v>
      </c>
      <c r="H135" s="4">
        <v>21018664</v>
      </c>
      <c r="I135" s="3" t="s">
        <v>20</v>
      </c>
      <c r="J135" s="4">
        <v>1</v>
      </c>
      <c r="K135" s="3" t="s">
        <v>21</v>
      </c>
      <c r="L135" s="4">
        <v>3660000</v>
      </c>
      <c r="M135" s="1">
        <f>O135*J135*K135</f>
        <v>0</v>
      </c>
      <c r="N135" s="3"/>
      <c r="O135" s="2">
        <f>L135/J135*(1-K135)</f>
        <v>3660000</v>
      </c>
    </row>
    <row r="136" ht="14.25">
      <c r="A136" s="3" t="s">
        <v>26</v>
      </c>
      <c r="B136" s="3" t="s">
        <v>192</v>
      </c>
      <c r="C136" s="3" t="s">
        <v>193</v>
      </c>
      <c r="D136" s="3" t="s">
        <v>17</v>
      </c>
      <c r="E136" s="3" t="s">
        <v>34</v>
      </c>
      <c r="F136" s="3" t="s">
        <v>19</v>
      </c>
      <c r="G136" s="4">
        <v>0</v>
      </c>
      <c r="H136" s="4">
        <v>21018664</v>
      </c>
      <c r="I136" s="3" t="s">
        <v>72</v>
      </c>
      <c r="J136" s="4">
        <v>2</v>
      </c>
      <c r="K136" s="3" t="s">
        <v>21</v>
      </c>
      <c r="L136" s="4">
        <v>1300000</v>
      </c>
      <c r="M136" s="1">
        <f>O136*J136*K136</f>
        <v>0</v>
      </c>
      <c r="N136" s="3"/>
      <c r="O136" s="2">
        <f>L136/J136*(1-K136)</f>
        <v>650000</v>
      </c>
    </row>
    <row r="137" ht="14.25">
      <c r="A137" s="3" t="s">
        <v>26</v>
      </c>
      <c r="B137" s="3" t="s">
        <v>192</v>
      </c>
      <c r="C137" s="3" t="s">
        <v>193</v>
      </c>
      <c r="D137" s="3" t="s">
        <v>17</v>
      </c>
      <c r="E137" s="3" t="s">
        <v>34</v>
      </c>
      <c r="F137" s="3" t="s">
        <v>19</v>
      </c>
      <c r="G137" s="4">
        <v>0</v>
      </c>
      <c r="H137" s="4">
        <v>21018664</v>
      </c>
      <c r="I137" s="3" t="s">
        <v>65</v>
      </c>
      <c r="J137" s="4">
        <v>1</v>
      </c>
      <c r="K137" s="3" t="s">
        <v>21</v>
      </c>
      <c r="L137" s="4">
        <v>620000</v>
      </c>
      <c r="M137" s="1">
        <f>O137*J137*K137</f>
        <v>0</v>
      </c>
      <c r="N137" s="3"/>
      <c r="O137" s="2">
        <f>L137/J137*(1-K137)</f>
        <v>620000</v>
      </c>
    </row>
    <row r="138" ht="14.25">
      <c r="A138" s="3" t="s">
        <v>26</v>
      </c>
      <c r="B138" s="3" t="s">
        <v>192</v>
      </c>
      <c r="C138" s="3" t="s">
        <v>193</v>
      </c>
      <c r="D138" s="3" t="s">
        <v>17</v>
      </c>
      <c r="E138" s="3" t="s">
        <v>34</v>
      </c>
      <c r="F138" s="3" t="s">
        <v>19</v>
      </c>
      <c r="G138" s="4">
        <v>0</v>
      </c>
      <c r="H138" s="4">
        <v>21018664</v>
      </c>
      <c r="I138" s="3" t="s">
        <v>194</v>
      </c>
      <c r="J138" s="4">
        <v>2</v>
      </c>
      <c r="K138" s="3" t="s">
        <v>21</v>
      </c>
      <c r="L138" s="4">
        <v>480000</v>
      </c>
      <c r="M138" s="1">
        <f>O138*J138*K138</f>
        <v>0</v>
      </c>
      <c r="N138" s="3"/>
      <c r="O138" s="2">
        <f>L138/J138*(1-K138)</f>
        <v>240000</v>
      </c>
    </row>
    <row r="139" ht="14.25">
      <c r="A139" s="3" t="s">
        <v>26</v>
      </c>
      <c r="B139" s="3" t="s">
        <v>192</v>
      </c>
      <c r="C139" s="3" t="s">
        <v>193</v>
      </c>
      <c r="D139" s="3" t="s">
        <v>17</v>
      </c>
      <c r="E139" s="3" t="s">
        <v>34</v>
      </c>
      <c r="F139" s="3" t="s">
        <v>19</v>
      </c>
      <c r="G139" s="4">
        <v>0</v>
      </c>
      <c r="H139" s="4">
        <v>21018664</v>
      </c>
      <c r="I139" s="3" t="s">
        <v>195</v>
      </c>
      <c r="J139" s="4">
        <v>1</v>
      </c>
      <c r="K139" s="3" t="s">
        <v>21</v>
      </c>
      <c r="L139" s="4">
        <v>220000</v>
      </c>
      <c r="M139" s="1">
        <f>O139*J139*K139</f>
        <v>0</v>
      </c>
      <c r="N139" s="3"/>
      <c r="O139" s="2">
        <f>L139/J139*(1-K139)</f>
        <v>220000</v>
      </c>
    </row>
    <row r="140" ht="14.25">
      <c r="A140" s="3" t="s">
        <v>26</v>
      </c>
      <c r="B140" s="3" t="s">
        <v>192</v>
      </c>
      <c r="C140" s="3" t="s">
        <v>193</v>
      </c>
      <c r="D140" s="3" t="s">
        <v>17</v>
      </c>
      <c r="E140" s="3" t="s">
        <v>34</v>
      </c>
      <c r="F140" s="3" t="s">
        <v>19</v>
      </c>
      <c r="G140" s="4">
        <v>0</v>
      </c>
      <c r="H140" s="4">
        <v>21018664</v>
      </c>
      <c r="I140" s="3" t="s">
        <v>196</v>
      </c>
      <c r="J140" s="4">
        <v>5</v>
      </c>
      <c r="K140" s="3" t="s">
        <v>21</v>
      </c>
      <c r="L140" s="4">
        <v>2450000</v>
      </c>
      <c r="M140" s="1">
        <f>O140*J140*K140</f>
        <v>0</v>
      </c>
      <c r="N140" s="3"/>
      <c r="O140" s="2">
        <f>L140/J140*(1-K140)</f>
        <v>490000</v>
      </c>
    </row>
    <row r="141" ht="14.25">
      <c r="A141" s="3" t="s">
        <v>26</v>
      </c>
      <c r="B141" s="3" t="s">
        <v>192</v>
      </c>
      <c r="C141" s="3" t="s">
        <v>193</v>
      </c>
      <c r="D141" s="3" t="s">
        <v>17</v>
      </c>
      <c r="E141" s="3" t="s">
        <v>34</v>
      </c>
      <c r="F141" s="3" t="s">
        <v>19</v>
      </c>
      <c r="G141" s="4">
        <v>0</v>
      </c>
      <c r="H141" s="4">
        <v>21018664</v>
      </c>
      <c r="I141" s="3" t="s">
        <v>123</v>
      </c>
      <c r="J141" s="4">
        <v>5</v>
      </c>
      <c r="K141" s="3" t="s">
        <v>21</v>
      </c>
      <c r="L141" s="4">
        <v>1700000</v>
      </c>
      <c r="M141" s="1">
        <f>O141*J141*K141</f>
        <v>0</v>
      </c>
      <c r="N141" s="3"/>
      <c r="O141" s="2">
        <f>L141/J141*(1-K141)</f>
        <v>340000</v>
      </c>
    </row>
    <row r="142" ht="14.25">
      <c r="A142" s="3" t="s">
        <v>26</v>
      </c>
      <c r="B142" s="3" t="s">
        <v>192</v>
      </c>
      <c r="C142" s="3" t="s">
        <v>193</v>
      </c>
      <c r="D142" s="3" t="s">
        <v>17</v>
      </c>
      <c r="E142" s="3" t="s">
        <v>34</v>
      </c>
      <c r="F142" s="3" t="s">
        <v>19</v>
      </c>
      <c r="G142" s="4">
        <v>0</v>
      </c>
      <c r="H142" s="4">
        <v>21018664</v>
      </c>
      <c r="I142" s="3" t="s">
        <v>197</v>
      </c>
      <c r="J142" s="4">
        <v>20</v>
      </c>
      <c r="K142" s="3" t="s">
        <v>21</v>
      </c>
      <c r="L142" s="4">
        <v>872160</v>
      </c>
      <c r="M142" s="1">
        <f>O142*J142*K142</f>
        <v>0</v>
      </c>
      <c r="N142" s="3"/>
      <c r="O142" s="2">
        <f>L142/J142*(1-K142)</f>
        <v>43608</v>
      </c>
    </row>
    <row r="143" ht="14.25">
      <c r="A143" s="3" t="s">
        <v>26</v>
      </c>
      <c r="B143" s="3" t="s">
        <v>192</v>
      </c>
      <c r="C143" s="3" t="s">
        <v>193</v>
      </c>
      <c r="D143" s="3" t="s">
        <v>17</v>
      </c>
      <c r="E143" s="3" t="s">
        <v>34</v>
      </c>
      <c r="F143" s="3" t="s">
        <v>19</v>
      </c>
      <c r="G143" s="4">
        <v>0</v>
      </c>
      <c r="H143" s="4">
        <v>21018664</v>
      </c>
      <c r="I143" s="3" t="s">
        <v>55</v>
      </c>
      <c r="J143" s="4">
        <v>4</v>
      </c>
      <c r="K143" s="3" t="s">
        <v>21</v>
      </c>
      <c r="L143" s="4">
        <v>812016</v>
      </c>
      <c r="M143" s="1">
        <f>O143*J143*K143</f>
        <v>0</v>
      </c>
      <c r="N143" s="3"/>
      <c r="O143" s="2">
        <f>L143/J143*(1-K143)</f>
        <v>203004</v>
      </c>
    </row>
    <row r="144" ht="14.25">
      <c r="A144" s="3" t="s">
        <v>26</v>
      </c>
      <c r="B144" s="3" t="s">
        <v>192</v>
      </c>
      <c r="C144" s="3" t="s">
        <v>193</v>
      </c>
      <c r="D144" s="3" t="s">
        <v>17</v>
      </c>
      <c r="E144" s="3" t="s">
        <v>34</v>
      </c>
      <c r="F144" s="3" t="s">
        <v>19</v>
      </c>
      <c r="G144" s="4">
        <v>0</v>
      </c>
      <c r="H144" s="4">
        <v>21018664</v>
      </c>
      <c r="I144" s="3" t="s">
        <v>38</v>
      </c>
      <c r="J144" s="4">
        <v>6</v>
      </c>
      <c r="K144" s="3" t="s">
        <v>21</v>
      </c>
      <c r="L144" s="4">
        <v>934536</v>
      </c>
      <c r="M144" s="1">
        <f>O144*J144*K144</f>
        <v>0</v>
      </c>
      <c r="N144" s="3"/>
      <c r="O144" s="2">
        <f>L144/J144*(1-K144)</f>
        <v>155756</v>
      </c>
    </row>
    <row r="145" ht="14.25">
      <c r="A145" s="3" t="s">
        <v>26</v>
      </c>
      <c r="B145" s="3" t="s">
        <v>192</v>
      </c>
      <c r="C145" s="3" t="s">
        <v>193</v>
      </c>
      <c r="D145" s="3" t="s">
        <v>17</v>
      </c>
      <c r="E145" s="3" t="s">
        <v>34</v>
      </c>
      <c r="F145" s="3" t="s">
        <v>19</v>
      </c>
      <c r="G145" s="4">
        <v>0</v>
      </c>
      <c r="H145" s="4">
        <v>21018664</v>
      </c>
      <c r="I145" s="3" t="s">
        <v>198</v>
      </c>
      <c r="J145" s="4">
        <v>6</v>
      </c>
      <c r="K145" s="3" t="s">
        <v>21</v>
      </c>
      <c r="L145" s="4">
        <v>869952</v>
      </c>
      <c r="M145" s="1">
        <f>O145*J145*K145</f>
        <v>0</v>
      </c>
      <c r="N145" s="3"/>
      <c r="O145" s="2">
        <f>L145/J145*(1-K145)</f>
        <v>144992</v>
      </c>
    </row>
    <row r="146" ht="14.25">
      <c r="A146" s="3" t="s">
        <v>26</v>
      </c>
      <c r="B146" s="3" t="s">
        <v>192</v>
      </c>
      <c r="C146" s="3" t="s">
        <v>199</v>
      </c>
      <c r="D146" s="3" t="s">
        <v>17</v>
      </c>
      <c r="E146" s="3" t="s">
        <v>34</v>
      </c>
      <c r="F146" s="3" t="s">
        <v>19</v>
      </c>
      <c r="G146" s="4">
        <v>0</v>
      </c>
      <c r="H146" s="4">
        <v>4236840</v>
      </c>
      <c r="I146" s="3" t="s">
        <v>200</v>
      </c>
      <c r="J146" s="4">
        <v>20</v>
      </c>
      <c r="K146" s="3" t="s">
        <v>21</v>
      </c>
      <c r="L146" s="4">
        <v>789360</v>
      </c>
      <c r="M146" s="1">
        <f>O146*J146*K146</f>
        <v>0</v>
      </c>
      <c r="N146" s="3"/>
      <c r="O146" s="2">
        <f>L146/J146*(1-K146)</f>
        <v>39468</v>
      </c>
    </row>
    <row r="147" ht="14.25">
      <c r="A147" s="3" t="s">
        <v>26</v>
      </c>
      <c r="B147" s="3" t="s">
        <v>192</v>
      </c>
      <c r="C147" s="3" t="s">
        <v>199</v>
      </c>
      <c r="D147" s="3" t="s">
        <v>17</v>
      </c>
      <c r="E147" s="3" t="s">
        <v>34</v>
      </c>
      <c r="F147" s="3" t="s">
        <v>19</v>
      </c>
      <c r="G147" s="4">
        <v>0</v>
      </c>
      <c r="H147" s="4">
        <v>4236840</v>
      </c>
      <c r="I147" s="3" t="s">
        <v>201</v>
      </c>
      <c r="J147" s="4">
        <v>8</v>
      </c>
      <c r="K147" s="3" t="s">
        <v>21</v>
      </c>
      <c r="L147" s="4">
        <v>247480</v>
      </c>
      <c r="M147" s="1">
        <f>O147*J147*K147</f>
        <v>0</v>
      </c>
      <c r="N147" s="3"/>
      <c r="O147" s="2">
        <f>L147/J147*(1-K147)</f>
        <v>30935</v>
      </c>
    </row>
    <row r="148" ht="14.25">
      <c r="A148" s="3" t="s">
        <v>26</v>
      </c>
      <c r="B148" s="3" t="s">
        <v>192</v>
      </c>
      <c r="C148" s="3" t="s">
        <v>199</v>
      </c>
      <c r="D148" s="3" t="s">
        <v>17</v>
      </c>
      <c r="E148" s="3" t="s">
        <v>34</v>
      </c>
      <c r="F148" s="3" t="s">
        <v>19</v>
      </c>
      <c r="G148" s="4">
        <v>0</v>
      </c>
      <c r="H148" s="4">
        <v>4236840</v>
      </c>
      <c r="I148" s="3" t="s">
        <v>121</v>
      </c>
      <c r="J148" s="4">
        <v>1</v>
      </c>
      <c r="K148" s="3" t="s">
        <v>21</v>
      </c>
      <c r="L148" s="4">
        <v>3200000</v>
      </c>
      <c r="M148" s="1">
        <f>O148*J148*K148</f>
        <v>0</v>
      </c>
      <c r="N148" s="3"/>
      <c r="O148" s="2">
        <f>L148/J148*(1-K148)</f>
        <v>3200000</v>
      </c>
    </row>
    <row r="149" ht="14.25">
      <c r="A149" s="3" t="s">
        <v>26</v>
      </c>
      <c r="B149" s="3" t="s">
        <v>192</v>
      </c>
      <c r="C149" s="3" t="s">
        <v>202</v>
      </c>
      <c r="D149" s="3" t="s">
        <v>17</v>
      </c>
      <c r="E149" s="3" t="s">
        <v>203</v>
      </c>
      <c r="F149" s="3" t="s">
        <v>19</v>
      </c>
      <c r="G149" s="4">
        <v>0</v>
      </c>
      <c r="H149" s="4">
        <v>600000</v>
      </c>
      <c r="I149" s="3" t="s">
        <v>29</v>
      </c>
      <c r="J149" s="4">
        <v>1</v>
      </c>
      <c r="K149" s="3" t="s">
        <v>21</v>
      </c>
      <c r="L149" s="4">
        <v>600000</v>
      </c>
      <c r="M149" s="1">
        <f>O149*J149*K149</f>
        <v>0</v>
      </c>
      <c r="N149" s="3"/>
      <c r="O149" s="2">
        <f>L149/J149*(1-K149)</f>
        <v>600000</v>
      </c>
    </row>
    <row r="150" ht="14.25">
      <c r="A150" s="3" t="s">
        <v>26</v>
      </c>
      <c r="B150" s="3" t="s">
        <v>192</v>
      </c>
      <c r="C150" s="3" t="s">
        <v>204</v>
      </c>
      <c r="D150" s="3" t="s">
        <v>17</v>
      </c>
      <c r="E150" s="3" t="s">
        <v>203</v>
      </c>
      <c r="F150" s="3" t="s">
        <v>19</v>
      </c>
      <c r="G150" s="4">
        <v>0</v>
      </c>
      <c r="H150" s="4">
        <v>600000</v>
      </c>
      <c r="I150" s="3" t="s">
        <v>29</v>
      </c>
      <c r="J150" s="4">
        <v>1</v>
      </c>
      <c r="K150" s="3" t="s">
        <v>21</v>
      </c>
      <c r="L150" s="4">
        <v>600000</v>
      </c>
      <c r="M150" s="1">
        <f>O150*J150*K150</f>
        <v>0</v>
      </c>
      <c r="N150" s="3"/>
      <c r="O150" s="2">
        <f>L150/J150*(1-K150)</f>
        <v>600000</v>
      </c>
    </row>
    <row r="151" ht="14.25">
      <c r="A151" s="3" t="s">
        <v>26</v>
      </c>
      <c r="B151" s="3" t="s">
        <v>189</v>
      </c>
      <c r="C151" s="3" t="s">
        <v>205</v>
      </c>
      <c r="D151" s="3" t="s">
        <v>17</v>
      </c>
      <c r="E151" s="3" t="s">
        <v>206</v>
      </c>
      <c r="F151" s="3" t="s">
        <v>19</v>
      </c>
      <c r="G151" s="4">
        <v>0</v>
      </c>
      <c r="H151" s="4">
        <v>1791240</v>
      </c>
      <c r="I151" s="3" t="s">
        <v>111</v>
      </c>
      <c r="J151" s="4">
        <v>24</v>
      </c>
      <c r="K151" s="3" t="s">
        <v>21</v>
      </c>
      <c r="L151" s="4">
        <v>960000</v>
      </c>
      <c r="M151" s="1">
        <f>O151*J151*K151</f>
        <v>0</v>
      </c>
      <c r="N151" s="3"/>
      <c r="O151" s="2">
        <f>L151/J151*(1-K151)</f>
        <v>40000</v>
      </c>
    </row>
    <row r="152" ht="14.25">
      <c r="A152" s="3" t="s">
        <v>26</v>
      </c>
      <c r="B152" s="3" t="s">
        <v>189</v>
      </c>
      <c r="C152" s="3" t="s">
        <v>205</v>
      </c>
      <c r="D152" s="3" t="s">
        <v>17</v>
      </c>
      <c r="E152" s="3" t="s">
        <v>206</v>
      </c>
      <c r="F152" s="3" t="s">
        <v>19</v>
      </c>
      <c r="G152" s="4">
        <v>0</v>
      </c>
      <c r="H152" s="4">
        <v>1791240</v>
      </c>
      <c r="I152" s="3" t="s">
        <v>207</v>
      </c>
      <c r="J152" s="4">
        <v>6</v>
      </c>
      <c r="K152" s="3" t="s">
        <v>21</v>
      </c>
      <c r="L152" s="4">
        <v>231240</v>
      </c>
      <c r="M152" s="1">
        <f>O152*J152*K152</f>
        <v>0</v>
      </c>
      <c r="N152" s="3"/>
      <c r="O152" s="2">
        <f>L152/J152*(1-K152)</f>
        <v>38540</v>
      </c>
    </row>
    <row r="153" ht="14.25">
      <c r="A153" s="3" t="s">
        <v>26</v>
      </c>
      <c r="B153" s="3" t="s">
        <v>189</v>
      </c>
      <c r="C153" s="3" t="s">
        <v>205</v>
      </c>
      <c r="D153" s="3" t="s">
        <v>17</v>
      </c>
      <c r="E153" s="3" t="s">
        <v>206</v>
      </c>
      <c r="F153" s="3" t="s">
        <v>19</v>
      </c>
      <c r="G153" s="4">
        <v>0</v>
      </c>
      <c r="H153" s="4">
        <v>1791240</v>
      </c>
      <c r="I153" s="3" t="s">
        <v>164</v>
      </c>
      <c r="J153" s="4">
        <v>24</v>
      </c>
      <c r="K153" s="3" t="s">
        <v>21</v>
      </c>
      <c r="L153" s="4">
        <v>600000</v>
      </c>
      <c r="M153" s="1">
        <f>O153*J153*K153</f>
        <v>0</v>
      </c>
      <c r="N153" s="3"/>
      <c r="O153" s="2">
        <f>L153/J153*(1-K153)</f>
        <v>25000</v>
      </c>
    </row>
    <row r="154" ht="14.25">
      <c r="A154" s="3" t="s">
        <v>26</v>
      </c>
      <c r="B154" s="3" t="s">
        <v>189</v>
      </c>
      <c r="C154" s="3" t="s">
        <v>208</v>
      </c>
      <c r="D154" s="3" t="s">
        <v>17</v>
      </c>
      <c r="E154" s="3" t="s">
        <v>209</v>
      </c>
      <c r="F154" s="3" t="s">
        <v>19</v>
      </c>
      <c r="G154" s="4">
        <v>0</v>
      </c>
      <c r="H154" s="4">
        <v>1498176</v>
      </c>
      <c r="I154" s="3" t="s">
        <v>38</v>
      </c>
      <c r="J154" s="4">
        <v>6</v>
      </c>
      <c r="K154" s="3" t="s">
        <v>21</v>
      </c>
      <c r="L154" s="4">
        <v>975168</v>
      </c>
      <c r="M154" s="1">
        <f>O154*J154*K154</f>
        <v>0</v>
      </c>
      <c r="N154" s="3"/>
      <c r="O154" s="2">
        <f>L154/J154*(1-K154)</f>
        <v>162528</v>
      </c>
    </row>
    <row r="155" ht="14.25">
      <c r="A155" s="3" t="s">
        <v>26</v>
      </c>
      <c r="B155" s="3" t="s">
        <v>189</v>
      </c>
      <c r="C155" s="3" t="s">
        <v>208</v>
      </c>
      <c r="D155" s="3" t="s">
        <v>17</v>
      </c>
      <c r="E155" s="3" t="s">
        <v>209</v>
      </c>
      <c r="F155" s="3" t="s">
        <v>19</v>
      </c>
      <c r="G155" s="4">
        <v>0</v>
      </c>
      <c r="H155" s="4">
        <v>1498176</v>
      </c>
      <c r="I155" s="3" t="s">
        <v>210</v>
      </c>
      <c r="J155" s="4">
        <v>12</v>
      </c>
      <c r="K155" s="3" t="s">
        <v>21</v>
      </c>
      <c r="L155" s="4">
        <v>523008</v>
      </c>
      <c r="M155" s="1">
        <f>O155*J155*K155</f>
        <v>0</v>
      </c>
      <c r="N155" s="3"/>
      <c r="O155" s="2">
        <f>L155/J155*(1-K155)</f>
        <v>43584</v>
      </c>
    </row>
    <row r="156" ht="14.25">
      <c r="A156" s="3" t="s">
        <v>26</v>
      </c>
      <c r="B156" s="3" t="s">
        <v>192</v>
      </c>
      <c r="C156" s="3" t="s">
        <v>211</v>
      </c>
      <c r="D156" s="3" t="s">
        <v>17</v>
      </c>
      <c r="E156" s="3" t="s">
        <v>212</v>
      </c>
      <c r="F156" s="3" t="s">
        <v>19</v>
      </c>
      <c r="G156" s="4">
        <v>0</v>
      </c>
      <c r="H156" s="4">
        <v>4850000</v>
      </c>
      <c r="I156" s="3" t="s">
        <v>29</v>
      </c>
      <c r="J156" s="4">
        <v>10</v>
      </c>
      <c r="K156" s="3" t="s">
        <v>21</v>
      </c>
      <c r="L156" s="4">
        <v>4850000</v>
      </c>
      <c r="M156" s="1">
        <f>O156*J156*K156</f>
        <v>0</v>
      </c>
      <c r="N156" s="3"/>
      <c r="O156" s="2">
        <f>L156/J156*(1-K156)</f>
        <v>485000</v>
      </c>
    </row>
    <row r="157" ht="14.25">
      <c r="A157" s="3" t="s">
        <v>26</v>
      </c>
      <c r="B157" s="3" t="s">
        <v>192</v>
      </c>
      <c r="C157" s="3" t="s">
        <v>213</v>
      </c>
      <c r="D157" s="3" t="s">
        <v>17</v>
      </c>
      <c r="E157" s="3" t="s">
        <v>214</v>
      </c>
      <c r="F157" s="3" t="s">
        <v>19</v>
      </c>
      <c r="G157" s="4">
        <v>0</v>
      </c>
      <c r="H157" s="4">
        <v>13450000</v>
      </c>
      <c r="I157" s="3" t="s">
        <v>215</v>
      </c>
      <c r="J157" s="4">
        <v>250</v>
      </c>
      <c r="K157" s="3" t="s">
        <v>21</v>
      </c>
      <c r="L157" s="4">
        <v>8750000</v>
      </c>
      <c r="M157" s="1">
        <f>O157*J157*K157</f>
        <v>0</v>
      </c>
      <c r="N157" s="3"/>
      <c r="O157" s="2">
        <f>L157/J157*(1-K157)</f>
        <v>35000</v>
      </c>
    </row>
    <row r="158" ht="14.25">
      <c r="A158" s="3" t="s">
        <v>26</v>
      </c>
      <c r="B158" s="3" t="s">
        <v>192</v>
      </c>
      <c r="C158" s="3" t="s">
        <v>213</v>
      </c>
      <c r="D158" s="3" t="s">
        <v>17</v>
      </c>
      <c r="E158" s="3" t="s">
        <v>214</v>
      </c>
      <c r="F158" s="3" t="s">
        <v>19</v>
      </c>
      <c r="G158" s="4">
        <v>0</v>
      </c>
      <c r="H158" s="4">
        <v>13450000</v>
      </c>
      <c r="I158" s="3" t="s">
        <v>29</v>
      </c>
      <c r="J158" s="4">
        <v>10</v>
      </c>
      <c r="K158" s="3" t="s">
        <v>21</v>
      </c>
      <c r="L158" s="4">
        <v>4700000</v>
      </c>
      <c r="M158" s="1">
        <f>O158*J158*K158</f>
        <v>0</v>
      </c>
      <c r="N158" s="3"/>
      <c r="O158" s="2">
        <f>L158/J158*(1-K158)</f>
        <v>470000</v>
      </c>
    </row>
    <row r="159" ht="14.25">
      <c r="A159" s="3" t="s">
        <v>26</v>
      </c>
      <c r="B159" s="3" t="s">
        <v>189</v>
      </c>
      <c r="C159" s="3" t="s">
        <v>216</v>
      </c>
      <c r="D159" s="3" t="s">
        <v>17</v>
      </c>
      <c r="E159" s="3" t="s">
        <v>85</v>
      </c>
      <c r="F159" s="3" t="s">
        <v>19</v>
      </c>
      <c r="G159" s="4">
        <v>0</v>
      </c>
      <c r="H159" s="4">
        <v>10600000</v>
      </c>
      <c r="I159" s="3" t="s">
        <v>154</v>
      </c>
      <c r="J159" s="4">
        <v>2</v>
      </c>
      <c r="K159" s="3" t="s">
        <v>21</v>
      </c>
      <c r="L159" s="4">
        <v>10600000</v>
      </c>
      <c r="M159" s="1">
        <f>O159*J159*K159</f>
        <v>0</v>
      </c>
      <c r="N159" s="3"/>
      <c r="O159" s="2">
        <f>L159/J159*(1-K159)</f>
        <v>5300000</v>
      </c>
    </row>
    <row r="160" ht="14.25">
      <c r="A160" s="3" t="s">
        <v>26</v>
      </c>
      <c r="B160" s="3" t="s">
        <v>192</v>
      </c>
      <c r="C160" s="3" t="s">
        <v>217</v>
      </c>
      <c r="D160" s="3" t="s">
        <v>17</v>
      </c>
      <c r="E160" s="3" t="s">
        <v>218</v>
      </c>
      <c r="F160" s="3" t="s">
        <v>19</v>
      </c>
      <c r="G160" s="4">
        <v>0</v>
      </c>
      <c r="H160" s="4">
        <v>5500000</v>
      </c>
      <c r="I160" s="3" t="s">
        <v>219</v>
      </c>
      <c r="J160" s="4">
        <v>1</v>
      </c>
      <c r="K160" s="3" t="s">
        <v>21</v>
      </c>
      <c r="L160" s="4">
        <v>5500000</v>
      </c>
      <c r="M160" s="1">
        <f>O160*J160*K160</f>
        <v>0</v>
      </c>
      <c r="N160" s="3"/>
      <c r="O160" s="2">
        <f>L160/J160*(1-K160)</f>
        <v>5500000</v>
      </c>
    </row>
    <row r="161" ht="14.25">
      <c r="A161" s="3" t="s">
        <v>26</v>
      </c>
      <c r="B161" s="3" t="s">
        <v>189</v>
      </c>
      <c r="C161" s="3" t="s">
        <v>220</v>
      </c>
      <c r="D161" s="3" t="s">
        <v>17</v>
      </c>
      <c r="E161" s="3" t="s">
        <v>221</v>
      </c>
      <c r="F161" s="3" t="s">
        <v>19</v>
      </c>
      <c r="G161" s="4">
        <v>0</v>
      </c>
      <c r="H161" s="4">
        <v>10400000</v>
      </c>
      <c r="I161" s="3" t="s">
        <v>61</v>
      </c>
      <c r="J161" s="4">
        <v>2</v>
      </c>
      <c r="K161" s="3" t="s">
        <v>21</v>
      </c>
      <c r="L161" s="4">
        <v>10400000</v>
      </c>
      <c r="M161" s="1">
        <f>O161*J161*K161</f>
        <v>0</v>
      </c>
      <c r="N161" s="3"/>
      <c r="O161" s="2">
        <f>L161/J161*(1-K161)</f>
        <v>5200000</v>
      </c>
    </row>
    <row r="162" ht="14.25">
      <c r="A162" s="3" t="s">
        <v>26</v>
      </c>
      <c r="B162" s="3" t="s">
        <v>192</v>
      </c>
      <c r="C162" s="3" t="s">
        <v>222</v>
      </c>
      <c r="D162" s="3" t="s">
        <v>17</v>
      </c>
      <c r="E162" s="3" t="s">
        <v>34</v>
      </c>
      <c r="F162" s="3" t="s">
        <v>19</v>
      </c>
      <c r="G162" s="4">
        <v>0</v>
      </c>
      <c r="H162" s="4">
        <v>13259558</v>
      </c>
      <c r="I162" s="3" t="s">
        <v>38</v>
      </c>
      <c r="J162" s="4">
        <v>6</v>
      </c>
      <c r="K162" s="3" t="s">
        <v>21</v>
      </c>
      <c r="L162" s="4">
        <v>934536</v>
      </c>
      <c r="M162" s="1">
        <f>O162*J162*K162</f>
        <v>0</v>
      </c>
      <c r="N162" s="3"/>
      <c r="O162" s="2">
        <f>L162/J162*(1-K162)</f>
        <v>155756</v>
      </c>
    </row>
    <row r="163" ht="14.25">
      <c r="A163" s="3" t="s">
        <v>26</v>
      </c>
      <c r="B163" s="3" t="s">
        <v>192</v>
      </c>
      <c r="C163" s="3" t="s">
        <v>222</v>
      </c>
      <c r="D163" s="3" t="s">
        <v>17</v>
      </c>
      <c r="E163" s="3" t="s">
        <v>34</v>
      </c>
      <c r="F163" s="3" t="s">
        <v>19</v>
      </c>
      <c r="G163" s="4">
        <v>0</v>
      </c>
      <c r="H163" s="4">
        <v>13259558</v>
      </c>
      <c r="I163" s="3" t="s">
        <v>36</v>
      </c>
      <c r="J163" s="4">
        <v>4</v>
      </c>
      <c r="K163" s="3" t="s">
        <v>21</v>
      </c>
      <c r="L163" s="4">
        <v>726800</v>
      </c>
      <c r="M163" s="1">
        <f>O163*J163*K163</f>
        <v>0</v>
      </c>
      <c r="N163" s="3"/>
      <c r="O163" s="2">
        <f>L163/J163*(1-K163)</f>
        <v>181700</v>
      </c>
    </row>
    <row r="164" ht="14.25">
      <c r="A164" s="3" t="s">
        <v>26</v>
      </c>
      <c r="B164" s="3" t="s">
        <v>192</v>
      </c>
      <c r="C164" s="3" t="s">
        <v>222</v>
      </c>
      <c r="D164" s="3" t="s">
        <v>17</v>
      </c>
      <c r="E164" s="3" t="s">
        <v>34</v>
      </c>
      <c r="F164" s="3" t="s">
        <v>19</v>
      </c>
      <c r="G164" s="4">
        <v>0</v>
      </c>
      <c r="H164" s="4">
        <v>13259558</v>
      </c>
      <c r="I164" s="3" t="s">
        <v>125</v>
      </c>
      <c r="J164" s="4">
        <v>3</v>
      </c>
      <c r="K164" s="3" t="s">
        <v>21</v>
      </c>
      <c r="L164" s="4">
        <v>739662</v>
      </c>
      <c r="M164" s="1">
        <f>O164*J164*K164</f>
        <v>0</v>
      </c>
      <c r="N164" s="3"/>
      <c r="O164" s="2">
        <f>L164/J164*(1-K164)</f>
        <v>246554</v>
      </c>
    </row>
    <row r="165" ht="14.25">
      <c r="A165" s="3" t="s">
        <v>26</v>
      </c>
      <c r="B165" s="3" t="s">
        <v>192</v>
      </c>
      <c r="C165" s="3" t="s">
        <v>222</v>
      </c>
      <c r="D165" s="3" t="s">
        <v>17</v>
      </c>
      <c r="E165" s="3" t="s">
        <v>34</v>
      </c>
      <c r="F165" s="3" t="s">
        <v>19</v>
      </c>
      <c r="G165" s="4">
        <v>0</v>
      </c>
      <c r="H165" s="4">
        <v>13259558</v>
      </c>
      <c r="I165" s="3" t="s">
        <v>126</v>
      </c>
      <c r="J165" s="4">
        <v>4</v>
      </c>
      <c r="K165" s="3" t="s">
        <v>21</v>
      </c>
      <c r="L165" s="4">
        <v>940440</v>
      </c>
      <c r="M165" s="1">
        <f>O165*J165*K165</f>
        <v>0</v>
      </c>
      <c r="N165" s="3"/>
      <c r="O165" s="2">
        <f>L165/J165*(1-K165)</f>
        <v>235110</v>
      </c>
    </row>
    <row r="166" ht="14.25">
      <c r="A166" s="3" t="s">
        <v>26</v>
      </c>
      <c r="B166" s="3" t="s">
        <v>192</v>
      </c>
      <c r="C166" s="3" t="s">
        <v>222</v>
      </c>
      <c r="D166" s="3" t="s">
        <v>17</v>
      </c>
      <c r="E166" s="3" t="s">
        <v>34</v>
      </c>
      <c r="F166" s="3" t="s">
        <v>19</v>
      </c>
      <c r="G166" s="4">
        <v>0</v>
      </c>
      <c r="H166" s="4">
        <v>13259558</v>
      </c>
      <c r="I166" s="3" t="s">
        <v>188</v>
      </c>
      <c r="J166" s="4">
        <v>4</v>
      </c>
      <c r="K166" s="3" t="s">
        <v>21</v>
      </c>
      <c r="L166" s="4">
        <v>987360</v>
      </c>
      <c r="M166" s="1">
        <f>O166*J166*K166</f>
        <v>0</v>
      </c>
      <c r="N166" s="3"/>
      <c r="O166" s="2">
        <f>L166/J166*(1-K166)</f>
        <v>246840</v>
      </c>
    </row>
    <row r="167" ht="14.25">
      <c r="A167" s="3" t="s">
        <v>26</v>
      </c>
      <c r="B167" s="3" t="s">
        <v>192</v>
      </c>
      <c r="C167" s="3" t="s">
        <v>222</v>
      </c>
      <c r="D167" s="3" t="s">
        <v>17</v>
      </c>
      <c r="E167" s="3" t="s">
        <v>34</v>
      </c>
      <c r="F167" s="3" t="s">
        <v>19</v>
      </c>
      <c r="G167" s="4">
        <v>0</v>
      </c>
      <c r="H167" s="4">
        <v>13259558</v>
      </c>
      <c r="I167" s="3" t="s">
        <v>127</v>
      </c>
      <c r="J167" s="4">
        <v>6</v>
      </c>
      <c r="K167" s="3" t="s">
        <v>21</v>
      </c>
      <c r="L167" s="4">
        <v>996360</v>
      </c>
      <c r="M167" s="1">
        <f>O167*J167*K167</f>
        <v>0</v>
      </c>
      <c r="N167" s="3"/>
      <c r="O167" s="2">
        <f>L167/J167*(1-K167)</f>
        <v>166060</v>
      </c>
    </row>
    <row r="168" ht="14.25">
      <c r="A168" s="3" t="s">
        <v>26</v>
      </c>
      <c r="B168" s="3" t="s">
        <v>192</v>
      </c>
      <c r="C168" s="3" t="s">
        <v>222</v>
      </c>
      <c r="D168" s="3" t="s">
        <v>17</v>
      </c>
      <c r="E168" s="3" t="s">
        <v>34</v>
      </c>
      <c r="F168" s="3" t="s">
        <v>19</v>
      </c>
      <c r="G168" s="4">
        <v>0</v>
      </c>
      <c r="H168" s="4">
        <v>13259558</v>
      </c>
      <c r="I168" s="3" t="s">
        <v>223</v>
      </c>
      <c r="J168" s="4">
        <v>12</v>
      </c>
      <c r="K168" s="3" t="s">
        <v>21</v>
      </c>
      <c r="L168" s="4">
        <v>734400</v>
      </c>
      <c r="M168" s="1">
        <f>O168*J168*K168</f>
        <v>0</v>
      </c>
      <c r="N168" s="3"/>
      <c r="O168" s="2">
        <f>L168/J168*(1-K168)</f>
        <v>61200</v>
      </c>
    </row>
    <row r="169" ht="14.25">
      <c r="A169" s="3" t="s">
        <v>26</v>
      </c>
      <c r="B169" s="3" t="s">
        <v>192</v>
      </c>
      <c r="C169" s="3" t="s">
        <v>222</v>
      </c>
      <c r="D169" s="3" t="s">
        <v>17</v>
      </c>
      <c r="E169" s="3" t="s">
        <v>34</v>
      </c>
      <c r="F169" s="3" t="s">
        <v>19</v>
      </c>
      <c r="G169" s="4">
        <v>0</v>
      </c>
      <c r="H169" s="4">
        <v>13259558</v>
      </c>
      <c r="I169" s="3" t="s">
        <v>224</v>
      </c>
      <c r="J169" s="4">
        <v>4</v>
      </c>
      <c r="K169" s="3" t="s">
        <v>21</v>
      </c>
      <c r="L169" s="4">
        <v>800000</v>
      </c>
      <c r="M169" s="1">
        <f>O169*J169*K169</f>
        <v>0</v>
      </c>
      <c r="N169" s="3"/>
      <c r="O169" s="2">
        <f>L169/J169*(1-K169)</f>
        <v>200000</v>
      </c>
    </row>
    <row r="170" ht="14.25">
      <c r="A170" s="3" t="s">
        <v>26</v>
      </c>
      <c r="B170" s="3" t="s">
        <v>192</v>
      </c>
      <c r="C170" s="3" t="s">
        <v>222</v>
      </c>
      <c r="D170" s="3" t="s">
        <v>17</v>
      </c>
      <c r="E170" s="3" t="s">
        <v>34</v>
      </c>
      <c r="F170" s="3" t="s">
        <v>19</v>
      </c>
      <c r="G170" s="4">
        <v>0</v>
      </c>
      <c r="H170" s="4">
        <v>13259558</v>
      </c>
      <c r="I170" s="3" t="s">
        <v>121</v>
      </c>
      <c r="J170" s="4">
        <v>2</v>
      </c>
      <c r="K170" s="3" t="s">
        <v>21</v>
      </c>
      <c r="L170" s="4">
        <v>6400000</v>
      </c>
      <c r="M170" s="1">
        <f>O170*J170*K170</f>
        <v>0</v>
      </c>
      <c r="N170" s="3"/>
      <c r="O170" s="2">
        <f>L170/J170*(1-K170)</f>
        <v>3200000</v>
      </c>
    </row>
    <row r="171" ht="14.25">
      <c r="A171" s="3" t="s">
        <v>225</v>
      </c>
      <c r="B171" s="3" t="s">
        <v>226</v>
      </c>
      <c r="C171" s="3" t="s">
        <v>227</v>
      </c>
      <c r="D171" s="3" t="s">
        <v>17</v>
      </c>
      <c r="E171" s="3" t="s">
        <v>228</v>
      </c>
      <c r="F171" s="3" t="s">
        <v>19</v>
      </c>
      <c r="G171" s="4">
        <v>0</v>
      </c>
      <c r="H171" s="4">
        <v>600000</v>
      </c>
      <c r="I171" s="3" t="s">
        <v>29</v>
      </c>
      <c r="J171" s="4">
        <v>1</v>
      </c>
      <c r="K171" s="3" t="s">
        <v>21</v>
      </c>
      <c r="L171" s="4">
        <v>600000</v>
      </c>
      <c r="M171" s="1">
        <f>O171*J171*K171</f>
        <v>0</v>
      </c>
      <c r="N171" s="3"/>
      <c r="O171" s="2">
        <f>L171/J171*(1-K171)</f>
        <v>600000</v>
      </c>
    </row>
    <row r="172" ht="14.25">
      <c r="A172" s="3" t="s">
        <v>225</v>
      </c>
      <c r="B172" s="3" t="s">
        <v>226</v>
      </c>
      <c r="C172" s="3" t="s">
        <v>229</v>
      </c>
      <c r="D172" s="3" t="s">
        <v>17</v>
      </c>
      <c r="E172" s="3" t="s">
        <v>230</v>
      </c>
      <c r="F172" s="3" t="s">
        <v>19</v>
      </c>
      <c r="G172" s="4">
        <v>0</v>
      </c>
      <c r="H172" s="4">
        <v>1500000</v>
      </c>
      <c r="I172" s="3" t="s">
        <v>231</v>
      </c>
      <c r="J172" s="4">
        <v>1</v>
      </c>
      <c r="K172" s="3" t="s">
        <v>21</v>
      </c>
      <c r="L172" s="4">
        <v>1500000</v>
      </c>
      <c r="M172" s="1">
        <f>O172*J172*K172</f>
        <v>0</v>
      </c>
      <c r="N172" s="3"/>
      <c r="O172" s="2">
        <f>L172/J172*(1-K172)</f>
        <v>1500000</v>
      </c>
    </row>
    <row r="173" ht="14.25">
      <c r="A173" s="3" t="s">
        <v>225</v>
      </c>
      <c r="B173" s="3" t="s">
        <v>226</v>
      </c>
      <c r="C173" s="3" t="s">
        <v>232</v>
      </c>
      <c r="D173" s="3" t="s">
        <v>17</v>
      </c>
      <c r="E173" s="3" t="s">
        <v>146</v>
      </c>
      <c r="F173" s="3" t="s">
        <v>19</v>
      </c>
      <c r="G173" s="4">
        <v>0</v>
      </c>
      <c r="H173" s="4">
        <v>1475000</v>
      </c>
      <c r="I173" s="3" t="s">
        <v>104</v>
      </c>
      <c r="J173" s="4">
        <v>1</v>
      </c>
      <c r="K173" s="3" t="s">
        <v>21</v>
      </c>
      <c r="L173" s="4">
        <v>1475000</v>
      </c>
      <c r="M173" s="1">
        <f>O173*J173*K173</f>
        <v>0</v>
      </c>
      <c r="N173" s="3"/>
      <c r="O173" s="2">
        <f>L173/J173*(1-K173)</f>
        <v>1475000</v>
      </c>
    </row>
    <row r="174" ht="14.25">
      <c r="A174" s="3" t="s">
        <v>225</v>
      </c>
      <c r="B174" s="3" t="s">
        <v>226</v>
      </c>
      <c r="C174" s="3" t="s">
        <v>233</v>
      </c>
      <c r="D174" s="3" t="s">
        <v>17</v>
      </c>
      <c r="E174" s="3" t="s">
        <v>23</v>
      </c>
      <c r="F174" s="3" t="s">
        <v>19</v>
      </c>
      <c r="G174" s="4">
        <v>0</v>
      </c>
      <c r="H174" s="4">
        <v>4800000</v>
      </c>
      <c r="I174" s="3" t="s">
        <v>234</v>
      </c>
      <c r="J174" s="4">
        <v>1</v>
      </c>
      <c r="K174" s="3" t="s">
        <v>21</v>
      </c>
      <c r="L174" s="4">
        <v>4800000</v>
      </c>
      <c r="M174" s="1">
        <f>O174*J174*K174</f>
        <v>0</v>
      </c>
      <c r="N174" s="3"/>
      <c r="O174" s="2">
        <f>L174/J174*(1-K174)</f>
        <v>4800000</v>
      </c>
    </row>
    <row r="175" ht="14.25">
      <c r="A175" s="3" t="s">
        <v>80</v>
      </c>
      <c r="B175" s="3" t="s">
        <v>235</v>
      </c>
      <c r="C175" s="3" t="s">
        <v>236</v>
      </c>
      <c r="D175" s="3" t="s">
        <v>17</v>
      </c>
      <c r="E175" s="3" t="s">
        <v>34</v>
      </c>
      <c r="F175" s="3" t="s">
        <v>19</v>
      </c>
      <c r="G175" s="4">
        <v>0</v>
      </c>
      <c r="H175" s="4">
        <v>13554712</v>
      </c>
      <c r="I175" s="3" t="s">
        <v>35</v>
      </c>
      <c r="J175" s="4">
        <v>1</v>
      </c>
      <c r="K175" s="3" t="s">
        <v>21</v>
      </c>
      <c r="L175" s="4">
        <v>3550000</v>
      </c>
      <c r="M175" s="1">
        <f>O175*J175*K175</f>
        <v>0</v>
      </c>
      <c r="N175" s="3"/>
      <c r="O175" s="2">
        <f>L175/J175*(1-K175)</f>
        <v>3550000</v>
      </c>
    </row>
    <row r="176" ht="14.25">
      <c r="A176" s="3" t="s">
        <v>80</v>
      </c>
      <c r="B176" s="3" t="s">
        <v>235</v>
      </c>
      <c r="C176" s="3" t="s">
        <v>236</v>
      </c>
      <c r="D176" s="3" t="s">
        <v>17</v>
      </c>
      <c r="E176" s="3" t="s">
        <v>34</v>
      </c>
      <c r="F176" s="3" t="s">
        <v>19</v>
      </c>
      <c r="G176" s="4">
        <v>0</v>
      </c>
      <c r="H176" s="4">
        <v>13554712</v>
      </c>
      <c r="I176" s="3" t="s">
        <v>121</v>
      </c>
      <c r="J176" s="4">
        <v>2</v>
      </c>
      <c r="K176" s="3" t="s">
        <v>21</v>
      </c>
      <c r="L176" s="4">
        <v>6400000</v>
      </c>
      <c r="M176" s="1">
        <f>O176*J176*K176</f>
        <v>0</v>
      </c>
      <c r="N176" s="3"/>
      <c r="O176" s="2">
        <f>L176/J176*(1-K176)</f>
        <v>3200000</v>
      </c>
    </row>
    <row r="177" ht="14.25">
      <c r="A177" s="3" t="s">
        <v>80</v>
      </c>
      <c r="B177" s="3" t="s">
        <v>235</v>
      </c>
      <c r="C177" s="3" t="s">
        <v>236</v>
      </c>
      <c r="D177" s="3" t="s">
        <v>17</v>
      </c>
      <c r="E177" s="3" t="s">
        <v>34</v>
      </c>
      <c r="F177" s="3" t="s">
        <v>19</v>
      </c>
      <c r="G177" s="4">
        <v>0</v>
      </c>
      <c r="H177" s="4">
        <v>13554712</v>
      </c>
      <c r="I177" s="3" t="s">
        <v>237</v>
      </c>
      <c r="J177" s="4">
        <v>4</v>
      </c>
      <c r="K177" s="3" t="s">
        <v>21</v>
      </c>
      <c r="L177" s="4">
        <v>1403392</v>
      </c>
      <c r="M177" s="1">
        <f>O177*J177*K177</f>
        <v>0</v>
      </c>
      <c r="N177" s="3"/>
      <c r="O177" s="2">
        <f>L177/J177*(1-K177)</f>
        <v>350848</v>
      </c>
    </row>
    <row r="178" ht="14.25">
      <c r="A178" s="3" t="s">
        <v>80</v>
      </c>
      <c r="B178" s="3" t="s">
        <v>235</v>
      </c>
      <c r="C178" s="3" t="s">
        <v>236</v>
      </c>
      <c r="D178" s="3" t="s">
        <v>17</v>
      </c>
      <c r="E178" s="3" t="s">
        <v>34</v>
      </c>
      <c r="F178" s="3" t="s">
        <v>19</v>
      </c>
      <c r="G178" s="4">
        <v>0</v>
      </c>
      <c r="H178" s="4">
        <v>13554712</v>
      </c>
      <c r="I178" s="3" t="s">
        <v>129</v>
      </c>
      <c r="J178" s="4">
        <v>20</v>
      </c>
      <c r="K178" s="3" t="s">
        <v>21</v>
      </c>
      <c r="L178" s="4">
        <v>1474520</v>
      </c>
      <c r="M178" s="1">
        <f>O178*J178*K178</f>
        <v>0</v>
      </c>
      <c r="N178" s="3"/>
      <c r="O178" s="2">
        <f>L178/J178*(1-K178)</f>
        <v>73726</v>
      </c>
    </row>
    <row r="179" ht="14.25">
      <c r="A179" s="3" t="s">
        <v>80</v>
      </c>
      <c r="B179" s="3" t="s">
        <v>235</v>
      </c>
      <c r="C179" s="3" t="s">
        <v>236</v>
      </c>
      <c r="D179" s="3" t="s">
        <v>17</v>
      </c>
      <c r="E179" s="3" t="s">
        <v>34</v>
      </c>
      <c r="F179" s="3" t="s">
        <v>19</v>
      </c>
      <c r="G179" s="4">
        <v>0</v>
      </c>
      <c r="H179" s="4">
        <v>13554712</v>
      </c>
      <c r="I179" s="3" t="s">
        <v>36</v>
      </c>
      <c r="J179" s="4">
        <v>4</v>
      </c>
      <c r="K179" s="3" t="s">
        <v>21</v>
      </c>
      <c r="L179" s="4">
        <v>726800</v>
      </c>
      <c r="M179" s="1">
        <f>O179*J179*K179</f>
        <v>0</v>
      </c>
      <c r="N179" s="3"/>
      <c r="O179" s="2">
        <f>L179/J179*(1-K179)</f>
        <v>181700</v>
      </c>
    </row>
    <row r="180" ht="14.25">
      <c r="A180" s="3" t="s">
        <v>80</v>
      </c>
      <c r="B180" s="3" t="s">
        <v>235</v>
      </c>
      <c r="C180" s="3" t="s">
        <v>238</v>
      </c>
      <c r="D180" s="3" t="s">
        <v>17</v>
      </c>
      <c r="E180" s="3" t="s">
        <v>160</v>
      </c>
      <c r="F180" s="3" t="s">
        <v>19</v>
      </c>
      <c r="G180" s="4">
        <v>0</v>
      </c>
      <c r="H180" s="4">
        <v>3398352</v>
      </c>
      <c r="I180" s="3" t="s">
        <v>163</v>
      </c>
      <c r="J180" s="4">
        <v>24</v>
      </c>
      <c r="K180" s="3" t="s">
        <v>21</v>
      </c>
      <c r="L180" s="4">
        <v>698352</v>
      </c>
      <c r="M180" s="1">
        <f>O180*J180*K180</f>
        <v>0</v>
      </c>
      <c r="N180" s="3"/>
      <c r="O180" s="2">
        <f>L180/J180*(1-K180)</f>
        <v>29098</v>
      </c>
    </row>
    <row r="181" ht="14.25">
      <c r="A181" s="3" t="s">
        <v>80</v>
      </c>
      <c r="B181" s="3" t="s">
        <v>235</v>
      </c>
      <c r="C181" s="3" t="s">
        <v>238</v>
      </c>
      <c r="D181" s="3" t="s">
        <v>17</v>
      </c>
      <c r="E181" s="3" t="s">
        <v>160</v>
      </c>
      <c r="F181" s="3" t="s">
        <v>19</v>
      </c>
      <c r="G181" s="4">
        <v>0</v>
      </c>
      <c r="H181" s="4">
        <v>3398352</v>
      </c>
      <c r="I181" s="3" t="s">
        <v>32</v>
      </c>
      <c r="J181" s="4">
        <v>120</v>
      </c>
      <c r="K181" s="3" t="s">
        <v>21</v>
      </c>
      <c r="L181" s="4">
        <v>2700000</v>
      </c>
      <c r="M181" s="1">
        <f>O181*J181*K181</f>
        <v>0</v>
      </c>
      <c r="N181" s="3"/>
      <c r="O181" s="2">
        <f>L181/J181*(1-K181)</f>
        <v>22500</v>
      </c>
    </row>
    <row r="182" ht="14.25">
      <c r="A182" s="3" t="s">
        <v>80</v>
      </c>
      <c r="B182" s="3" t="s">
        <v>239</v>
      </c>
      <c r="C182" s="3" t="s">
        <v>240</v>
      </c>
      <c r="D182" s="3" t="s">
        <v>17</v>
      </c>
      <c r="E182" s="3" t="s">
        <v>85</v>
      </c>
      <c r="F182" s="3" t="s">
        <v>19</v>
      </c>
      <c r="G182" s="4">
        <v>0</v>
      </c>
      <c r="H182" s="4">
        <v>14937630</v>
      </c>
      <c r="I182" s="3" t="s">
        <v>210</v>
      </c>
      <c r="J182" s="4">
        <v>30</v>
      </c>
      <c r="K182" s="3" t="s">
        <v>21</v>
      </c>
      <c r="L182" s="4">
        <v>1266660</v>
      </c>
      <c r="M182" s="1">
        <f>O182*J182*K182</f>
        <v>0</v>
      </c>
      <c r="N182" s="3"/>
      <c r="O182" s="2">
        <f>L182/J182*(1-K182)</f>
        <v>42222</v>
      </c>
    </row>
    <row r="183" ht="14.25">
      <c r="A183" s="3" t="s">
        <v>80</v>
      </c>
      <c r="B183" s="3" t="s">
        <v>239</v>
      </c>
      <c r="C183" s="3" t="s">
        <v>240</v>
      </c>
      <c r="D183" s="3" t="s">
        <v>17</v>
      </c>
      <c r="E183" s="3" t="s">
        <v>85</v>
      </c>
      <c r="F183" s="3" t="s">
        <v>19</v>
      </c>
      <c r="G183" s="4">
        <v>0</v>
      </c>
      <c r="H183" s="4">
        <v>14937630</v>
      </c>
      <c r="I183" s="3" t="s">
        <v>38</v>
      </c>
      <c r="J183" s="4">
        <v>18</v>
      </c>
      <c r="K183" s="3" t="s">
        <v>21</v>
      </c>
      <c r="L183" s="4">
        <v>2834082</v>
      </c>
      <c r="M183" s="1">
        <f>O183*J183*K183</f>
        <v>0</v>
      </c>
      <c r="N183" s="3"/>
      <c r="O183" s="2">
        <f>L183/J183*(1-K183)</f>
        <v>157449</v>
      </c>
    </row>
    <row r="184" ht="14.25">
      <c r="A184" s="3" t="s">
        <v>80</v>
      </c>
      <c r="B184" s="3" t="s">
        <v>239</v>
      </c>
      <c r="C184" s="3" t="s">
        <v>240</v>
      </c>
      <c r="D184" s="3" t="s">
        <v>17</v>
      </c>
      <c r="E184" s="3" t="s">
        <v>85</v>
      </c>
      <c r="F184" s="3" t="s">
        <v>19</v>
      </c>
      <c r="G184" s="4">
        <v>0</v>
      </c>
      <c r="H184" s="4">
        <v>14937630</v>
      </c>
      <c r="I184" s="3" t="s">
        <v>241</v>
      </c>
      <c r="J184" s="4">
        <v>12</v>
      </c>
      <c r="K184" s="3" t="s">
        <v>21</v>
      </c>
      <c r="L184" s="4">
        <v>647280</v>
      </c>
      <c r="M184" s="1">
        <f>O184*J184*K184</f>
        <v>0</v>
      </c>
      <c r="N184" s="3"/>
      <c r="O184" s="2">
        <f>L184/J184*(1-K184)</f>
        <v>53940</v>
      </c>
    </row>
    <row r="185" ht="14.25">
      <c r="A185" s="3" t="s">
        <v>80</v>
      </c>
      <c r="B185" s="3" t="s">
        <v>239</v>
      </c>
      <c r="C185" s="3" t="s">
        <v>240</v>
      </c>
      <c r="D185" s="3" t="s">
        <v>17</v>
      </c>
      <c r="E185" s="3" t="s">
        <v>85</v>
      </c>
      <c r="F185" s="3" t="s">
        <v>19</v>
      </c>
      <c r="G185" s="4">
        <v>0</v>
      </c>
      <c r="H185" s="4">
        <v>14937630</v>
      </c>
      <c r="I185" s="3" t="s">
        <v>55</v>
      </c>
      <c r="J185" s="4">
        <v>8</v>
      </c>
      <c r="K185" s="3" t="s">
        <v>21</v>
      </c>
      <c r="L185" s="4">
        <v>1642008</v>
      </c>
      <c r="M185" s="1">
        <f>O185*J185*K185</f>
        <v>0</v>
      </c>
      <c r="N185" s="3"/>
      <c r="O185" s="2">
        <f>L185/J185*(1-K185)</f>
        <v>205251</v>
      </c>
    </row>
    <row r="186" ht="14.25">
      <c r="A186" s="3" t="s">
        <v>80</v>
      </c>
      <c r="B186" s="3" t="s">
        <v>239</v>
      </c>
      <c r="C186" s="3" t="s">
        <v>240</v>
      </c>
      <c r="D186" s="3" t="s">
        <v>17</v>
      </c>
      <c r="E186" s="3" t="s">
        <v>85</v>
      </c>
      <c r="F186" s="3" t="s">
        <v>19</v>
      </c>
      <c r="G186" s="4">
        <v>0</v>
      </c>
      <c r="H186" s="4">
        <v>14937630</v>
      </c>
      <c r="I186" s="3" t="s">
        <v>242</v>
      </c>
      <c r="J186" s="4">
        <v>8</v>
      </c>
      <c r="K186" s="3" t="s">
        <v>21</v>
      </c>
      <c r="L186" s="4">
        <v>1418808</v>
      </c>
      <c r="M186" s="1">
        <f>O186*J186*K186</f>
        <v>0</v>
      </c>
      <c r="N186" s="3"/>
      <c r="O186" s="2">
        <f>L186/J186*(1-K186)</f>
        <v>177351</v>
      </c>
    </row>
    <row r="187" ht="14.25">
      <c r="A187" s="3" t="s">
        <v>80</v>
      </c>
      <c r="B187" s="3" t="s">
        <v>239</v>
      </c>
      <c r="C187" s="3" t="s">
        <v>240</v>
      </c>
      <c r="D187" s="3" t="s">
        <v>17</v>
      </c>
      <c r="E187" s="3" t="s">
        <v>85</v>
      </c>
      <c r="F187" s="3" t="s">
        <v>19</v>
      </c>
      <c r="G187" s="4">
        <v>0</v>
      </c>
      <c r="H187" s="4">
        <v>14937630</v>
      </c>
      <c r="I187" s="3" t="s">
        <v>243</v>
      </c>
      <c r="J187" s="4">
        <v>12</v>
      </c>
      <c r="K187" s="3" t="s">
        <v>21</v>
      </c>
      <c r="L187" s="4">
        <v>2095848</v>
      </c>
      <c r="M187" s="1">
        <f>O187*J187*K187</f>
        <v>0</v>
      </c>
      <c r="N187" s="3"/>
      <c r="O187" s="2">
        <f>L187/J187*(1-K187)</f>
        <v>174654</v>
      </c>
    </row>
    <row r="188" ht="14.25">
      <c r="A188" s="3" t="s">
        <v>80</v>
      </c>
      <c r="B188" s="3" t="s">
        <v>239</v>
      </c>
      <c r="C188" s="3" t="s">
        <v>240</v>
      </c>
      <c r="D188" s="3" t="s">
        <v>17</v>
      </c>
      <c r="E188" s="3" t="s">
        <v>85</v>
      </c>
      <c r="F188" s="3" t="s">
        <v>19</v>
      </c>
      <c r="G188" s="4">
        <v>0</v>
      </c>
      <c r="H188" s="4">
        <v>14937630</v>
      </c>
      <c r="I188" s="3" t="s">
        <v>200</v>
      </c>
      <c r="J188" s="4">
        <v>20</v>
      </c>
      <c r="K188" s="3" t="s">
        <v>21</v>
      </c>
      <c r="L188" s="4">
        <v>797940</v>
      </c>
      <c r="M188" s="1">
        <f>O188*J188*K188</f>
        <v>0</v>
      </c>
      <c r="N188" s="3"/>
      <c r="O188" s="2">
        <f>L188/J188*(1-K188)</f>
        <v>39897</v>
      </c>
    </row>
    <row r="189" ht="14.25">
      <c r="A189" s="3" t="s">
        <v>80</v>
      </c>
      <c r="B189" s="3" t="s">
        <v>239</v>
      </c>
      <c r="C189" s="3" t="s">
        <v>240</v>
      </c>
      <c r="D189" s="3" t="s">
        <v>17</v>
      </c>
      <c r="E189" s="3" t="s">
        <v>85</v>
      </c>
      <c r="F189" s="3" t="s">
        <v>19</v>
      </c>
      <c r="G189" s="4">
        <v>0</v>
      </c>
      <c r="H189" s="4">
        <v>14937630</v>
      </c>
      <c r="I189" s="3" t="s">
        <v>244</v>
      </c>
      <c r="J189" s="4">
        <v>12</v>
      </c>
      <c r="K189" s="3" t="s">
        <v>21</v>
      </c>
      <c r="L189" s="4">
        <v>630000</v>
      </c>
      <c r="M189" s="1">
        <f>O189*J189*K189</f>
        <v>0</v>
      </c>
      <c r="N189" s="3"/>
      <c r="O189" s="2">
        <f>L189/J189*(1-K189)</f>
        <v>52500</v>
      </c>
    </row>
    <row r="190" ht="14.25">
      <c r="A190" s="3" t="s">
        <v>80</v>
      </c>
      <c r="B190" s="3" t="s">
        <v>239</v>
      </c>
      <c r="C190" s="3" t="s">
        <v>240</v>
      </c>
      <c r="D190" s="3" t="s">
        <v>17</v>
      </c>
      <c r="E190" s="3" t="s">
        <v>85</v>
      </c>
      <c r="F190" s="3" t="s">
        <v>19</v>
      </c>
      <c r="G190" s="4">
        <v>0</v>
      </c>
      <c r="H190" s="4">
        <v>14937630</v>
      </c>
      <c r="I190" s="3" t="s">
        <v>245</v>
      </c>
      <c r="J190" s="4">
        <v>8</v>
      </c>
      <c r="K190" s="3" t="s">
        <v>21</v>
      </c>
      <c r="L190" s="4">
        <v>1440000</v>
      </c>
      <c r="M190" s="1">
        <f>O190*J190*K190</f>
        <v>0</v>
      </c>
      <c r="N190" s="3"/>
      <c r="O190" s="2">
        <f>L190/J190*(1-K190)</f>
        <v>180000</v>
      </c>
    </row>
    <row r="191" ht="14.25">
      <c r="A191" s="3" t="s">
        <v>80</v>
      </c>
      <c r="B191" s="3" t="s">
        <v>239</v>
      </c>
      <c r="C191" s="3" t="s">
        <v>240</v>
      </c>
      <c r="D191" s="3" t="s">
        <v>17</v>
      </c>
      <c r="E191" s="3" t="s">
        <v>85</v>
      </c>
      <c r="F191" s="3" t="s">
        <v>19</v>
      </c>
      <c r="G191" s="4">
        <v>0</v>
      </c>
      <c r="H191" s="4">
        <v>14937630</v>
      </c>
      <c r="I191" s="3" t="s">
        <v>122</v>
      </c>
      <c r="J191" s="4">
        <v>8</v>
      </c>
      <c r="K191" s="3" t="s">
        <v>21</v>
      </c>
      <c r="L191" s="4">
        <v>1440000</v>
      </c>
      <c r="M191" s="1">
        <f>O191*J191*K191</f>
        <v>0</v>
      </c>
      <c r="N191" s="3"/>
      <c r="O191" s="2">
        <f>L191/J191*(1-K191)</f>
        <v>180000</v>
      </c>
    </row>
    <row r="192" ht="14.25">
      <c r="A192" s="3" t="s">
        <v>80</v>
      </c>
      <c r="B192" s="3" t="s">
        <v>239</v>
      </c>
      <c r="C192" s="3" t="s">
        <v>240</v>
      </c>
      <c r="D192" s="3" t="s">
        <v>17</v>
      </c>
      <c r="E192" s="3" t="s">
        <v>85</v>
      </c>
      <c r="F192" s="3" t="s">
        <v>19</v>
      </c>
      <c r="G192" s="4">
        <v>0</v>
      </c>
      <c r="H192" s="4">
        <v>14937630</v>
      </c>
      <c r="I192" s="3" t="s">
        <v>246</v>
      </c>
      <c r="J192" s="4">
        <v>12</v>
      </c>
      <c r="K192" s="3" t="s">
        <v>21</v>
      </c>
      <c r="L192" s="4">
        <v>725004</v>
      </c>
      <c r="M192" s="1">
        <f>O192*J192*K192</f>
        <v>0</v>
      </c>
      <c r="N192" s="3"/>
      <c r="O192" s="2">
        <f>L192/J192*(1-K192)</f>
        <v>60417</v>
      </c>
    </row>
    <row r="193" ht="14.25">
      <c r="A193" s="3" t="s">
        <v>80</v>
      </c>
      <c r="B193" s="3" t="s">
        <v>235</v>
      </c>
      <c r="C193" s="3" t="s">
        <v>247</v>
      </c>
      <c r="D193" s="3" t="s">
        <v>17</v>
      </c>
      <c r="E193" s="3" t="s">
        <v>31</v>
      </c>
      <c r="F193" s="3" t="s">
        <v>19</v>
      </c>
      <c r="G193" s="4">
        <v>0</v>
      </c>
      <c r="H193" s="4">
        <v>987360</v>
      </c>
      <c r="I193" s="3" t="s">
        <v>248</v>
      </c>
      <c r="J193" s="4">
        <v>4</v>
      </c>
      <c r="K193" s="3" t="s">
        <v>21</v>
      </c>
      <c r="L193" s="4">
        <v>987360</v>
      </c>
      <c r="M193" s="1">
        <f>O193*J193*K193</f>
        <v>0</v>
      </c>
      <c r="N193" s="3"/>
      <c r="O193" s="2">
        <f>L193/J193*(1-K193)</f>
        <v>246840</v>
      </c>
    </row>
    <row r="194" ht="14.25">
      <c r="A194" s="3" t="s">
        <v>80</v>
      </c>
      <c r="B194" s="3" t="s">
        <v>235</v>
      </c>
      <c r="C194" s="3" t="s">
        <v>249</v>
      </c>
      <c r="D194" s="3" t="s">
        <v>17</v>
      </c>
      <c r="E194" s="3" t="s">
        <v>168</v>
      </c>
      <c r="F194" s="3" t="s">
        <v>19</v>
      </c>
      <c r="G194" s="4">
        <v>0</v>
      </c>
      <c r="H194" s="4">
        <v>1400000</v>
      </c>
      <c r="I194" s="3" t="s">
        <v>250</v>
      </c>
      <c r="J194" s="4">
        <v>8</v>
      </c>
      <c r="K194" s="3" t="s">
        <v>21</v>
      </c>
      <c r="L194" s="4">
        <v>1400000</v>
      </c>
      <c r="M194" s="1">
        <f>O194*J194*K194</f>
        <v>0</v>
      </c>
      <c r="N194" s="3"/>
      <c r="O194" s="2">
        <f>L194/J194*(1-K194)</f>
        <v>175000</v>
      </c>
    </row>
    <row r="195" ht="14.25">
      <c r="A195" s="3" t="s">
        <v>80</v>
      </c>
      <c r="B195" s="3" t="s">
        <v>235</v>
      </c>
      <c r="C195" s="3" t="s">
        <v>251</v>
      </c>
      <c r="D195" s="3" t="s">
        <v>17</v>
      </c>
      <c r="E195" s="3" t="s">
        <v>252</v>
      </c>
      <c r="F195" s="3" t="s">
        <v>19</v>
      </c>
      <c r="G195" s="4">
        <v>0</v>
      </c>
      <c r="H195" s="4">
        <v>7200000</v>
      </c>
      <c r="I195" s="3" t="s">
        <v>121</v>
      </c>
      <c r="J195" s="4">
        <v>2</v>
      </c>
      <c r="K195" s="3" t="s">
        <v>21</v>
      </c>
      <c r="L195" s="4">
        <v>7200000</v>
      </c>
      <c r="M195" s="1">
        <f>O195*J195*K195</f>
        <v>0</v>
      </c>
      <c r="N195" s="3"/>
      <c r="O195" s="2">
        <f>L195/J195*(1-K195)</f>
        <v>3600000</v>
      </c>
    </row>
    <row r="196" ht="14.25">
      <c r="A196" s="3" t="s">
        <v>80</v>
      </c>
      <c r="B196" s="3" t="s">
        <v>235</v>
      </c>
      <c r="C196" s="3" t="s">
        <v>253</v>
      </c>
      <c r="D196" s="3" t="s">
        <v>17</v>
      </c>
      <c r="E196" s="3" t="s">
        <v>230</v>
      </c>
      <c r="F196" s="3" t="s">
        <v>19</v>
      </c>
      <c r="G196" s="4">
        <v>0</v>
      </c>
      <c r="H196" s="4">
        <v>2500000</v>
      </c>
      <c r="I196" s="3" t="s">
        <v>136</v>
      </c>
      <c r="J196" s="4">
        <v>2</v>
      </c>
      <c r="K196" s="3" t="s">
        <v>21</v>
      </c>
      <c r="L196" s="4">
        <v>2500000</v>
      </c>
      <c r="M196" s="1">
        <f>O196*J196*K196</f>
        <v>0</v>
      </c>
      <c r="N196" s="3"/>
      <c r="O196" s="2">
        <f>L196/J196*(1-K196)</f>
        <v>1250000</v>
      </c>
    </row>
    <row r="197" ht="14.25">
      <c r="A197" s="3" t="s">
        <v>118</v>
      </c>
      <c r="B197" s="3" t="s">
        <v>254</v>
      </c>
      <c r="C197" s="3" t="s">
        <v>255</v>
      </c>
      <c r="D197" s="3" t="s">
        <v>17</v>
      </c>
      <c r="E197" s="3" t="s">
        <v>256</v>
      </c>
      <c r="F197" s="3" t="s">
        <v>19</v>
      </c>
      <c r="G197" s="4">
        <v>0</v>
      </c>
      <c r="H197" s="4">
        <v>9248000</v>
      </c>
      <c r="I197" s="3" t="s">
        <v>121</v>
      </c>
      <c r="J197" s="4">
        <v>1</v>
      </c>
      <c r="K197" s="3" t="s">
        <v>21</v>
      </c>
      <c r="L197" s="4">
        <v>3800000</v>
      </c>
      <c r="M197" s="1">
        <f>O197*J197*K197</f>
        <v>0</v>
      </c>
      <c r="N197" s="3"/>
      <c r="O197" s="2">
        <f>L197/J197*(1-K197)</f>
        <v>3800000</v>
      </c>
    </row>
    <row r="198" ht="14.25">
      <c r="A198" s="3" t="s">
        <v>118</v>
      </c>
      <c r="B198" s="3" t="s">
        <v>254</v>
      </c>
      <c r="C198" s="3" t="s">
        <v>255</v>
      </c>
      <c r="D198" s="3" t="s">
        <v>17</v>
      </c>
      <c r="E198" s="3" t="s">
        <v>256</v>
      </c>
      <c r="F198" s="3" t="s">
        <v>19</v>
      </c>
      <c r="G198" s="4">
        <v>0</v>
      </c>
      <c r="H198" s="4">
        <v>9248000</v>
      </c>
      <c r="I198" s="3" t="s">
        <v>29</v>
      </c>
      <c r="J198" s="4">
        <v>6</v>
      </c>
      <c r="K198" s="3" t="s">
        <v>21</v>
      </c>
      <c r="L198" s="4">
        <v>3000000</v>
      </c>
      <c r="M198" s="1">
        <f>O198*J198*K198</f>
        <v>0</v>
      </c>
      <c r="N198" s="3"/>
      <c r="O198" s="2">
        <f>L198/J198*(1-K198)</f>
        <v>500000</v>
      </c>
    </row>
    <row r="199" ht="14.25">
      <c r="A199" s="3" t="s">
        <v>118</v>
      </c>
      <c r="B199" s="3" t="s">
        <v>254</v>
      </c>
      <c r="C199" s="3" t="s">
        <v>255</v>
      </c>
      <c r="D199" s="3" t="s">
        <v>17</v>
      </c>
      <c r="E199" s="3" t="s">
        <v>256</v>
      </c>
      <c r="F199" s="3" t="s">
        <v>19</v>
      </c>
      <c r="G199" s="4">
        <v>0</v>
      </c>
      <c r="H199" s="4">
        <v>9248000</v>
      </c>
      <c r="I199" s="3" t="s">
        <v>57</v>
      </c>
      <c r="J199" s="4">
        <v>24</v>
      </c>
      <c r="K199" s="3" t="s">
        <v>21</v>
      </c>
      <c r="L199" s="4">
        <v>648000</v>
      </c>
      <c r="M199" s="1">
        <f>O199*J199*K199</f>
        <v>0</v>
      </c>
      <c r="N199" s="3"/>
      <c r="O199" s="2">
        <f>L199/J199*(1-K199)</f>
        <v>27000</v>
      </c>
    </row>
    <row r="200" ht="14.25">
      <c r="A200" s="3" t="s">
        <v>118</v>
      </c>
      <c r="B200" s="3" t="s">
        <v>254</v>
      </c>
      <c r="C200" s="3" t="s">
        <v>255</v>
      </c>
      <c r="D200" s="3" t="s">
        <v>17</v>
      </c>
      <c r="E200" s="3" t="s">
        <v>256</v>
      </c>
      <c r="F200" s="3" t="s">
        <v>19</v>
      </c>
      <c r="G200" s="4">
        <v>0</v>
      </c>
      <c r="H200" s="4">
        <v>9248000</v>
      </c>
      <c r="I200" s="3" t="s">
        <v>36</v>
      </c>
      <c r="J200" s="4">
        <v>4</v>
      </c>
      <c r="K200" s="3" t="s">
        <v>21</v>
      </c>
      <c r="L200" s="4">
        <v>760000</v>
      </c>
      <c r="M200" s="1">
        <f>O200*J200*K200</f>
        <v>0</v>
      </c>
      <c r="N200" s="3"/>
      <c r="O200" s="2">
        <f>L200/J200*(1-K200)</f>
        <v>190000</v>
      </c>
    </row>
    <row r="201" ht="14.25">
      <c r="A201" s="3" t="s">
        <v>118</v>
      </c>
      <c r="B201" s="3" t="s">
        <v>254</v>
      </c>
      <c r="C201" s="3" t="s">
        <v>255</v>
      </c>
      <c r="D201" s="3" t="s">
        <v>17</v>
      </c>
      <c r="E201" s="3" t="s">
        <v>256</v>
      </c>
      <c r="F201" s="3" t="s">
        <v>19</v>
      </c>
      <c r="G201" s="4">
        <v>0</v>
      </c>
      <c r="H201" s="4">
        <v>9248000</v>
      </c>
      <c r="I201" s="3" t="s">
        <v>188</v>
      </c>
      <c r="J201" s="4">
        <v>4</v>
      </c>
      <c r="K201" s="3" t="s">
        <v>21</v>
      </c>
      <c r="L201" s="4">
        <v>1040000</v>
      </c>
      <c r="M201" s="1">
        <f>O201*J201*K201</f>
        <v>0</v>
      </c>
      <c r="N201" s="3"/>
      <c r="O201" s="2">
        <f>L201/J201*(1-K201)</f>
        <v>260000</v>
      </c>
    </row>
    <row r="202" ht="14.25">
      <c r="A202" s="3" t="s">
        <v>118</v>
      </c>
      <c r="B202" s="3" t="s">
        <v>257</v>
      </c>
      <c r="C202" s="3" t="s">
        <v>258</v>
      </c>
      <c r="D202" s="3" t="s">
        <v>17</v>
      </c>
      <c r="E202" s="3" t="s">
        <v>74</v>
      </c>
      <c r="F202" s="3" t="s">
        <v>19</v>
      </c>
      <c r="G202" s="4">
        <v>0</v>
      </c>
      <c r="H202" s="4">
        <v>6798000</v>
      </c>
      <c r="I202" s="3" t="s">
        <v>67</v>
      </c>
      <c r="J202" s="4">
        <v>14</v>
      </c>
      <c r="K202" s="3" t="s">
        <v>21</v>
      </c>
      <c r="L202" s="4">
        <v>5278000</v>
      </c>
      <c r="M202" s="1">
        <f>O202*J202*K202</f>
        <v>0</v>
      </c>
      <c r="N202" s="3"/>
      <c r="O202" s="2">
        <f>L202/J202*(1-K202)</f>
        <v>377000</v>
      </c>
    </row>
    <row r="203" ht="14.25">
      <c r="A203" s="3" t="s">
        <v>118</v>
      </c>
      <c r="B203" s="3" t="s">
        <v>257</v>
      </c>
      <c r="C203" s="3" t="s">
        <v>258</v>
      </c>
      <c r="D203" s="3" t="s">
        <v>17</v>
      </c>
      <c r="E203" s="3" t="s">
        <v>74</v>
      </c>
      <c r="F203" s="3" t="s">
        <v>19</v>
      </c>
      <c r="G203" s="4">
        <v>0</v>
      </c>
      <c r="H203" s="4">
        <v>6798000</v>
      </c>
      <c r="I203" s="3" t="s">
        <v>36</v>
      </c>
      <c r="J203" s="4">
        <v>8</v>
      </c>
      <c r="K203" s="3" t="s">
        <v>21</v>
      </c>
      <c r="L203" s="4">
        <v>1520000</v>
      </c>
      <c r="M203" s="1">
        <f>O203*J203*K203</f>
        <v>0</v>
      </c>
      <c r="N203" s="3"/>
      <c r="O203" s="2">
        <f>L203/J203*(1-K203)</f>
        <v>190000</v>
      </c>
    </row>
    <row r="204" ht="14.25">
      <c r="A204" s="3" t="s">
        <v>118</v>
      </c>
      <c r="B204" s="3" t="s">
        <v>254</v>
      </c>
      <c r="C204" s="3" t="s">
        <v>259</v>
      </c>
      <c r="D204" s="3" t="s">
        <v>17</v>
      </c>
      <c r="E204" s="3" t="s">
        <v>260</v>
      </c>
      <c r="F204" s="3" t="s">
        <v>19</v>
      </c>
      <c r="G204" s="4">
        <v>0</v>
      </c>
      <c r="H204" s="4">
        <v>11772000</v>
      </c>
      <c r="I204" s="3" t="s">
        <v>86</v>
      </c>
      <c r="J204" s="4">
        <v>1</v>
      </c>
      <c r="K204" s="3" t="s">
        <v>21</v>
      </c>
      <c r="L204" s="4">
        <v>5500000</v>
      </c>
      <c r="M204" s="1">
        <f>O204*J204*K204</f>
        <v>0</v>
      </c>
      <c r="N204" s="3"/>
      <c r="O204" s="2">
        <f>L204/J204*(1-K204)</f>
        <v>5500000</v>
      </c>
    </row>
    <row r="205" ht="14.25">
      <c r="A205" s="3" t="s">
        <v>118</v>
      </c>
      <c r="B205" s="3" t="s">
        <v>254</v>
      </c>
      <c r="C205" s="3" t="s">
        <v>259</v>
      </c>
      <c r="D205" s="3" t="s">
        <v>17</v>
      </c>
      <c r="E205" s="3" t="s">
        <v>260</v>
      </c>
      <c r="F205" s="3" t="s">
        <v>19</v>
      </c>
      <c r="G205" s="4">
        <v>0</v>
      </c>
      <c r="H205" s="4">
        <v>11772000</v>
      </c>
      <c r="I205" s="3" t="s">
        <v>121</v>
      </c>
      <c r="J205" s="4">
        <v>1</v>
      </c>
      <c r="K205" s="3" t="s">
        <v>21</v>
      </c>
      <c r="L205" s="4">
        <v>3800000</v>
      </c>
      <c r="M205" s="1">
        <f>O205*J205*K205</f>
        <v>0</v>
      </c>
      <c r="N205" s="3"/>
      <c r="O205" s="2">
        <f>L205/J205*(1-K205)</f>
        <v>3800000</v>
      </c>
    </row>
    <row r="206" ht="14.25">
      <c r="A206" s="3" t="s">
        <v>118</v>
      </c>
      <c r="B206" s="3" t="s">
        <v>254</v>
      </c>
      <c r="C206" s="3" t="s">
        <v>259</v>
      </c>
      <c r="D206" s="3" t="s">
        <v>17</v>
      </c>
      <c r="E206" s="3" t="s">
        <v>260</v>
      </c>
      <c r="F206" s="3" t="s">
        <v>19</v>
      </c>
      <c r="G206" s="4">
        <v>0</v>
      </c>
      <c r="H206" s="4">
        <v>11772000</v>
      </c>
      <c r="I206" s="3" t="s">
        <v>261</v>
      </c>
      <c r="J206" s="4">
        <v>12</v>
      </c>
      <c r="K206" s="3" t="s">
        <v>21</v>
      </c>
      <c r="L206" s="4">
        <v>816000</v>
      </c>
      <c r="M206" s="1">
        <f>O206*J206*K206</f>
        <v>0</v>
      </c>
      <c r="N206" s="3"/>
      <c r="O206" s="2">
        <f>L206/J206*(1-K206)</f>
        <v>68000</v>
      </c>
    </row>
    <row r="207" ht="14.25">
      <c r="A207" s="3" t="s">
        <v>118</v>
      </c>
      <c r="B207" s="3" t="s">
        <v>254</v>
      </c>
      <c r="C207" s="3" t="s">
        <v>259</v>
      </c>
      <c r="D207" s="3" t="s">
        <v>17</v>
      </c>
      <c r="E207" s="3" t="s">
        <v>260</v>
      </c>
      <c r="F207" s="3" t="s">
        <v>19</v>
      </c>
      <c r="G207" s="4">
        <v>0</v>
      </c>
      <c r="H207" s="4">
        <v>11772000</v>
      </c>
      <c r="I207" s="3" t="s">
        <v>144</v>
      </c>
      <c r="J207" s="4">
        <v>24</v>
      </c>
      <c r="K207" s="3" t="s">
        <v>21</v>
      </c>
      <c r="L207" s="4">
        <v>1656000</v>
      </c>
      <c r="M207" s="1">
        <f>O207*J207*K207</f>
        <v>0</v>
      </c>
      <c r="N207" s="3"/>
      <c r="O207" s="2">
        <f>L207/J207*(1-K207)</f>
        <v>69000</v>
      </c>
    </row>
    <row r="208" ht="14.25">
      <c r="A208" s="3" t="s">
        <v>118</v>
      </c>
      <c r="B208" s="3" t="s">
        <v>257</v>
      </c>
      <c r="C208" s="3" t="s">
        <v>262</v>
      </c>
      <c r="D208" s="3" t="s">
        <v>17</v>
      </c>
      <c r="E208" s="3" t="s">
        <v>263</v>
      </c>
      <c r="F208" s="3" t="s">
        <v>19</v>
      </c>
      <c r="G208" s="4">
        <v>0</v>
      </c>
      <c r="H208" s="4">
        <v>2940000</v>
      </c>
      <c r="I208" s="3" t="s">
        <v>29</v>
      </c>
      <c r="J208" s="4">
        <v>6</v>
      </c>
      <c r="K208" s="3" t="s">
        <v>21</v>
      </c>
      <c r="L208" s="4">
        <v>2940000</v>
      </c>
      <c r="M208" s="1">
        <f>O208*J208*K208</f>
        <v>0</v>
      </c>
      <c r="N208" s="3"/>
      <c r="O208" s="2">
        <f>L208/J208*(1-K208)</f>
        <v>490000</v>
      </c>
    </row>
    <row r="209" ht="14.25">
      <c r="A209" s="3" t="s">
        <v>118</v>
      </c>
      <c r="B209" s="3" t="s">
        <v>257</v>
      </c>
      <c r="C209" s="3" t="s">
        <v>264</v>
      </c>
      <c r="D209" s="3" t="s">
        <v>17</v>
      </c>
      <c r="E209" s="3" t="s">
        <v>265</v>
      </c>
      <c r="F209" s="3" t="s">
        <v>19</v>
      </c>
      <c r="G209" s="4">
        <v>0</v>
      </c>
      <c r="H209" s="4">
        <v>7600000</v>
      </c>
      <c r="I209" s="3" t="s">
        <v>35</v>
      </c>
      <c r="J209" s="4">
        <v>2</v>
      </c>
      <c r="K209" s="3" t="s">
        <v>21</v>
      </c>
      <c r="L209" s="4">
        <v>7600000</v>
      </c>
      <c r="M209" s="1">
        <f>O209*J209*K209</f>
        <v>0</v>
      </c>
      <c r="N209" s="3"/>
      <c r="O209" s="2">
        <f>L209/J209*(1-K209)</f>
        <v>3800000</v>
      </c>
    </row>
    <row r="210" ht="14.25">
      <c r="A210" s="3" t="s">
        <v>118</v>
      </c>
      <c r="B210" s="3" t="s">
        <v>254</v>
      </c>
      <c r="C210" s="3" t="s">
        <v>266</v>
      </c>
      <c r="D210" s="3" t="s">
        <v>159</v>
      </c>
      <c r="E210" s="3" t="s">
        <v>53</v>
      </c>
      <c r="F210" s="3" t="s">
        <v>19</v>
      </c>
      <c r="G210" s="4">
        <v>3526539</v>
      </c>
      <c r="H210" s="4">
        <v>4942188</v>
      </c>
      <c r="I210" s="3" t="s">
        <v>267</v>
      </c>
      <c r="J210" s="4">
        <v>12</v>
      </c>
      <c r="K210" s="3" t="s">
        <v>21</v>
      </c>
      <c r="L210" s="4">
        <v>1026900</v>
      </c>
      <c r="M210" s="1">
        <f>O210*J210*K210</f>
        <v>0</v>
      </c>
      <c r="N210" s="3"/>
      <c r="O210" s="2">
        <f>L210/J210*(1-K210)</f>
        <v>85575</v>
      </c>
    </row>
    <row r="211" ht="14.25">
      <c r="A211" s="3" t="s">
        <v>118</v>
      </c>
      <c r="B211" s="3" t="s">
        <v>254</v>
      </c>
      <c r="C211" s="3" t="s">
        <v>266</v>
      </c>
      <c r="D211" s="3" t="s">
        <v>159</v>
      </c>
      <c r="E211" s="3" t="s">
        <v>53</v>
      </c>
      <c r="F211" s="3" t="s">
        <v>19</v>
      </c>
      <c r="G211" s="4">
        <v>3526539</v>
      </c>
      <c r="H211" s="4">
        <v>4942188</v>
      </c>
      <c r="I211" s="3" t="s">
        <v>246</v>
      </c>
      <c r="J211" s="4">
        <v>12</v>
      </c>
      <c r="K211" s="3" t="s">
        <v>21</v>
      </c>
      <c r="L211" s="4">
        <v>675000</v>
      </c>
      <c r="M211" s="1">
        <f>O211*J211*K211</f>
        <v>0</v>
      </c>
      <c r="N211" s="3"/>
      <c r="O211" s="2">
        <f>L211/J211*(1-K211)</f>
        <v>56250</v>
      </c>
    </row>
    <row r="212" ht="14.25">
      <c r="A212" s="3" t="s">
        <v>118</v>
      </c>
      <c r="B212" s="3" t="s">
        <v>254</v>
      </c>
      <c r="C212" s="3" t="s">
        <v>266</v>
      </c>
      <c r="D212" s="3" t="s">
        <v>159</v>
      </c>
      <c r="E212" s="3" t="s">
        <v>53</v>
      </c>
      <c r="F212" s="3" t="s">
        <v>19</v>
      </c>
      <c r="G212" s="4">
        <v>3526539</v>
      </c>
      <c r="H212" s="4">
        <v>4942188</v>
      </c>
      <c r="I212" s="3" t="s">
        <v>32</v>
      </c>
      <c r="J212" s="4">
        <v>24</v>
      </c>
      <c r="K212" s="3" t="s">
        <v>21</v>
      </c>
      <c r="L212" s="4">
        <v>588000</v>
      </c>
      <c r="M212" s="1">
        <f>O212*J212*K212</f>
        <v>0</v>
      </c>
      <c r="N212" s="3"/>
      <c r="O212" s="2">
        <f>L212/J212*(1-K212)</f>
        <v>24500</v>
      </c>
    </row>
    <row r="213" ht="14.25">
      <c r="A213" s="3" t="s">
        <v>118</v>
      </c>
      <c r="B213" s="3" t="s">
        <v>254</v>
      </c>
      <c r="C213" s="3" t="s">
        <v>266</v>
      </c>
      <c r="D213" s="3" t="s">
        <v>159</v>
      </c>
      <c r="E213" s="3" t="s">
        <v>53</v>
      </c>
      <c r="F213" s="3" t="s">
        <v>19</v>
      </c>
      <c r="G213" s="4">
        <v>3526539</v>
      </c>
      <c r="H213" s="4">
        <v>4942188</v>
      </c>
      <c r="I213" s="3" t="s">
        <v>38</v>
      </c>
      <c r="J213" s="4">
        <v>6</v>
      </c>
      <c r="K213" s="3" t="s">
        <v>21</v>
      </c>
      <c r="L213" s="4">
        <v>975168</v>
      </c>
      <c r="M213" s="1">
        <f>O213*J213*K213</f>
        <v>0</v>
      </c>
      <c r="N213" s="3"/>
      <c r="O213" s="2">
        <f>L213/J213*(1-K213)</f>
        <v>162528</v>
      </c>
    </row>
    <row r="214" ht="14.25">
      <c r="A214" s="3" t="s">
        <v>118</v>
      </c>
      <c r="B214" s="3" t="s">
        <v>254</v>
      </c>
      <c r="C214" s="3" t="s">
        <v>266</v>
      </c>
      <c r="D214" s="3" t="s">
        <v>159</v>
      </c>
      <c r="E214" s="3" t="s">
        <v>53</v>
      </c>
      <c r="F214" s="3" t="s">
        <v>19</v>
      </c>
      <c r="G214" s="4">
        <v>3526539</v>
      </c>
      <c r="H214" s="4">
        <v>4942188</v>
      </c>
      <c r="I214" s="3" t="s">
        <v>268</v>
      </c>
      <c r="J214" s="4">
        <v>24</v>
      </c>
      <c r="K214" s="3" t="s">
        <v>21</v>
      </c>
      <c r="L214" s="4">
        <v>840000</v>
      </c>
      <c r="M214" s="1">
        <f>O214*J214*K214</f>
        <v>0</v>
      </c>
      <c r="N214" s="3"/>
      <c r="O214" s="2">
        <f>L214/J214*(1-K214)</f>
        <v>35000</v>
      </c>
    </row>
    <row r="215" ht="14.25">
      <c r="A215" s="3" t="s">
        <v>118</v>
      </c>
      <c r="B215" s="3" t="s">
        <v>254</v>
      </c>
      <c r="C215" s="3" t="s">
        <v>266</v>
      </c>
      <c r="D215" s="3" t="s">
        <v>159</v>
      </c>
      <c r="E215" s="3" t="s">
        <v>53</v>
      </c>
      <c r="F215" s="3" t="s">
        <v>19</v>
      </c>
      <c r="G215" s="4">
        <v>3526539</v>
      </c>
      <c r="H215" s="4">
        <v>4942188</v>
      </c>
      <c r="I215" s="3" t="s">
        <v>137</v>
      </c>
      <c r="J215" s="4">
        <v>20</v>
      </c>
      <c r="K215" s="3" t="s">
        <v>21</v>
      </c>
      <c r="L215" s="4">
        <v>837120</v>
      </c>
      <c r="M215" s="1">
        <f>O215*J215*K215</f>
        <v>0</v>
      </c>
      <c r="N215" s="3"/>
      <c r="O215" s="2">
        <f>L215/J215*(1-K215)</f>
        <v>41856</v>
      </c>
    </row>
    <row r="216" ht="14.25">
      <c r="A216" s="3" t="s">
        <v>139</v>
      </c>
      <c r="B216" s="3" t="s">
        <v>269</v>
      </c>
      <c r="C216" s="3" t="s">
        <v>270</v>
      </c>
      <c r="D216" s="3" t="s">
        <v>17</v>
      </c>
      <c r="E216" s="3" t="s">
        <v>271</v>
      </c>
      <c r="F216" s="3" t="s">
        <v>19</v>
      </c>
      <c r="G216" s="4">
        <v>0</v>
      </c>
      <c r="H216" s="4">
        <v>2000000</v>
      </c>
      <c r="I216" s="3" t="s">
        <v>272</v>
      </c>
      <c r="J216" s="4">
        <v>2</v>
      </c>
      <c r="K216" s="3" t="s">
        <v>21</v>
      </c>
      <c r="L216" s="4">
        <v>2000000</v>
      </c>
      <c r="M216" s="1">
        <f>O216*J216*K216</f>
        <v>0</v>
      </c>
      <c r="N216" s="3"/>
      <c r="O216" s="2">
        <f>L216/J216*(1-K216)</f>
        <v>1000000</v>
      </c>
    </row>
    <row r="217" ht="14.25">
      <c r="A217" s="3" t="s">
        <v>139</v>
      </c>
      <c r="B217" s="3" t="s">
        <v>273</v>
      </c>
      <c r="C217" s="3" t="s">
        <v>274</v>
      </c>
      <c r="D217" s="3" t="s">
        <v>17</v>
      </c>
      <c r="E217" s="3" t="s">
        <v>218</v>
      </c>
      <c r="F217" s="3" t="s">
        <v>19</v>
      </c>
      <c r="G217" s="4">
        <v>0</v>
      </c>
      <c r="H217" s="4">
        <v>4099520</v>
      </c>
      <c r="I217" s="3" t="s">
        <v>66</v>
      </c>
      <c r="J217" s="4">
        <v>10</v>
      </c>
      <c r="K217" s="3" t="s">
        <v>275</v>
      </c>
      <c r="L217" s="4">
        <v>4456000</v>
      </c>
      <c r="M217" s="1">
        <f>O217*J217*K217</f>
        <v>327961.60000000003</v>
      </c>
      <c r="N217" s="3"/>
      <c r="O217" s="2">
        <f>L217/J217*(1-K217)</f>
        <v>409952</v>
      </c>
    </row>
    <row r="218" ht="14.25">
      <c r="A218" s="3" t="s">
        <v>139</v>
      </c>
      <c r="B218" s="3" t="s">
        <v>269</v>
      </c>
      <c r="C218" s="3" t="s">
        <v>276</v>
      </c>
      <c r="D218" s="3" t="s">
        <v>17</v>
      </c>
      <c r="E218" s="3" t="s">
        <v>277</v>
      </c>
      <c r="F218" s="3" t="s">
        <v>19</v>
      </c>
      <c r="G218" s="4">
        <v>0</v>
      </c>
      <c r="H218" s="4">
        <v>6440000</v>
      </c>
      <c r="I218" s="3" t="s">
        <v>172</v>
      </c>
      <c r="J218" s="4">
        <v>4</v>
      </c>
      <c r="K218" s="3" t="s">
        <v>21</v>
      </c>
      <c r="L218" s="4">
        <v>2720000</v>
      </c>
      <c r="M218" s="1">
        <f>O218*J218*K218</f>
        <v>0</v>
      </c>
      <c r="N218" s="3"/>
      <c r="O218" s="2">
        <f>L218/J218*(1-K218)</f>
        <v>680000</v>
      </c>
    </row>
    <row r="219" ht="14.25">
      <c r="A219" s="3" t="s">
        <v>139</v>
      </c>
      <c r="B219" s="3" t="s">
        <v>269</v>
      </c>
      <c r="C219" s="3" t="s">
        <v>276</v>
      </c>
      <c r="D219" s="3" t="s">
        <v>17</v>
      </c>
      <c r="E219" s="3" t="s">
        <v>277</v>
      </c>
      <c r="F219" s="3" t="s">
        <v>19</v>
      </c>
      <c r="G219" s="4">
        <v>0</v>
      </c>
      <c r="H219" s="4">
        <v>6440000</v>
      </c>
      <c r="I219" s="3" t="s">
        <v>147</v>
      </c>
      <c r="J219" s="4">
        <v>4</v>
      </c>
      <c r="K219" s="3" t="s">
        <v>21</v>
      </c>
      <c r="L219" s="4">
        <v>2720000</v>
      </c>
      <c r="M219" s="1">
        <f>O219*J219*K219</f>
        <v>0</v>
      </c>
      <c r="N219" s="3"/>
      <c r="O219" s="2">
        <f>L219/J219*(1-K219)</f>
        <v>680000</v>
      </c>
    </row>
    <row r="220" ht="14.25">
      <c r="A220" s="3" t="s">
        <v>139</v>
      </c>
      <c r="B220" s="3" t="s">
        <v>269</v>
      </c>
      <c r="C220" s="3" t="s">
        <v>276</v>
      </c>
      <c r="D220" s="3" t="s">
        <v>17</v>
      </c>
      <c r="E220" s="3" t="s">
        <v>277</v>
      </c>
      <c r="F220" s="3" t="s">
        <v>19</v>
      </c>
      <c r="G220" s="4">
        <v>0</v>
      </c>
      <c r="H220" s="4">
        <v>6440000</v>
      </c>
      <c r="I220" s="3" t="s">
        <v>58</v>
      </c>
      <c r="J220" s="4">
        <v>2</v>
      </c>
      <c r="K220" s="3" t="s">
        <v>21</v>
      </c>
      <c r="L220" s="4">
        <v>1000000</v>
      </c>
      <c r="M220" s="1">
        <f>O220*J220*K220</f>
        <v>0</v>
      </c>
      <c r="N220" s="3"/>
      <c r="O220" s="2">
        <f>L220/J220*(1-K220)</f>
        <v>500000</v>
      </c>
    </row>
    <row r="221" ht="14.25">
      <c r="A221" s="3" t="s">
        <v>139</v>
      </c>
      <c r="B221" s="3" t="s">
        <v>273</v>
      </c>
      <c r="C221" s="3" t="s">
        <v>278</v>
      </c>
      <c r="D221" s="3" t="s">
        <v>159</v>
      </c>
      <c r="E221" s="3" t="s">
        <v>279</v>
      </c>
      <c r="F221" s="3" t="s">
        <v>19</v>
      </c>
      <c r="G221" s="4">
        <v>58140000</v>
      </c>
      <c r="H221" s="4">
        <v>58140000</v>
      </c>
      <c r="I221" s="3" t="s">
        <v>280</v>
      </c>
      <c r="J221" s="4">
        <v>480</v>
      </c>
      <c r="K221" s="3" t="s">
        <v>21</v>
      </c>
      <c r="L221" s="4">
        <v>16200000</v>
      </c>
      <c r="M221" s="1">
        <f>O221*J221*K221</f>
        <v>0</v>
      </c>
      <c r="N221" s="3"/>
      <c r="O221" s="2">
        <f>L221/J221*(1-K221)</f>
        <v>33750</v>
      </c>
    </row>
    <row r="222" ht="14.25">
      <c r="A222" s="3" t="s">
        <v>139</v>
      </c>
      <c r="B222" s="3" t="s">
        <v>273</v>
      </c>
      <c r="C222" s="3" t="s">
        <v>278</v>
      </c>
      <c r="D222" s="3" t="s">
        <v>159</v>
      </c>
      <c r="E222" s="3" t="s">
        <v>279</v>
      </c>
      <c r="F222" s="3" t="s">
        <v>19</v>
      </c>
      <c r="G222" s="4">
        <v>58140000</v>
      </c>
      <c r="H222" s="4">
        <v>58140000</v>
      </c>
      <c r="I222" s="3" t="s">
        <v>47</v>
      </c>
      <c r="J222" s="4">
        <v>1200</v>
      </c>
      <c r="K222" s="3" t="s">
        <v>21</v>
      </c>
      <c r="L222" s="4">
        <v>37500000</v>
      </c>
      <c r="M222" s="1">
        <f>O222*J222*K222</f>
        <v>0</v>
      </c>
      <c r="N222" s="3"/>
      <c r="O222" s="2">
        <f>L222/J222*(1-K222)</f>
        <v>31250</v>
      </c>
    </row>
    <row r="223" ht="14.25">
      <c r="A223" s="3" t="s">
        <v>139</v>
      </c>
      <c r="B223" s="3" t="s">
        <v>273</v>
      </c>
      <c r="C223" s="3" t="s">
        <v>278</v>
      </c>
      <c r="D223" s="3" t="s">
        <v>159</v>
      </c>
      <c r="E223" s="3" t="s">
        <v>279</v>
      </c>
      <c r="F223" s="3" t="s">
        <v>19</v>
      </c>
      <c r="G223" s="4">
        <v>58140000</v>
      </c>
      <c r="H223" s="4">
        <v>58140000</v>
      </c>
      <c r="I223" s="3" t="s">
        <v>281</v>
      </c>
      <c r="J223" s="4">
        <v>480</v>
      </c>
      <c r="K223" s="3" t="s">
        <v>21</v>
      </c>
      <c r="L223" s="4">
        <v>4440000</v>
      </c>
      <c r="M223" s="1">
        <f>O223*J223*K223</f>
        <v>0</v>
      </c>
      <c r="N223" s="3"/>
      <c r="O223" s="2">
        <f>L223/J223*(1-K223)</f>
        <v>9250</v>
      </c>
    </row>
    <row r="224" ht="14.25">
      <c r="A224" s="3" t="s">
        <v>139</v>
      </c>
      <c r="B224" s="3" t="s">
        <v>273</v>
      </c>
      <c r="C224" s="3" t="s">
        <v>282</v>
      </c>
      <c r="D224" s="3" t="s">
        <v>17</v>
      </c>
      <c r="E224" s="3" t="s">
        <v>23</v>
      </c>
      <c r="F224" s="3" t="s">
        <v>19</v>
      </c>
      <c r="G224" s="4">
        <v>0</v>
      </c>
      <c r="H224" s="4">
        <v>6220000</v>
      </c>
      <c r="I224" s="3" t="s">
        <v>102</v>
      </c>
      <c r="J224" s="4">
        <v>1</v>
      </c>
      <c r="K224" s="3" t="s">
        <v>21</v>
      </c>
      <c r="L224" s="4">
        <v>2050000</v>
      </c>
      <c r="M224" s="1">
        <f>O224*J224*K224</f>
        <v>0</v>
      </c>
      <c r="N224" s="3"/>
      <c r="O224" s="2">
        <f>L224/J224*(1-K224)</f>
        <v>2050000</v>
      </c>
    </row>
    <row r="225" ht="14.25">
      <c r="A225" s="3" t="s">
        <v>139</v>
      </c>
      <c r="B225" s="3" t="s">
        <v>273</v>
      </c>
      <c r="C225" s="3" t="s">
        <v>282</v>
      </c>
      <c r="D225" s="3" t="s">
        <v>17</v>
      </c>
      <c r="E225" s="3" t="s">
        <v>23</v>
      </c>
      <c r="F225" s="3" t="s">
        <v>19</v>
      </c>
      <c r="G225" s="4">
        <v>0</v>
      </c>
      <c r="H225" s="4">
        <v>6220000</v>
      </c>
      <c r="I225" s="3" t="s">
        <v>283</v>
      </c>
      <c r="J225" s="4">
        <v>3</v>
      </c>
      <c r="K225" s="3" t="s">
        <v>21</v>
      </c>
      <c r="L225" s="4">
        <v>4170000</v>
      </c>
      <c r="M225" s="1">
        <f>O225*J225*K225</f>
        <v>0</v>
      </c>
      <c r="N225" s="3"/>
      <c r="O225" s="2">
        <f>L225/J225*(1-K225)</f>
        <v>1390000</v>
      </c>
    </row>
    <row r="226" ht="14.25">
      <c r="A226" s="3" t="s">
        <v>151</v>
      </c>
      <c r="B226" s="3" t="s">
        <v>284</v>
      </c>
      <c r="C226" s="3" t="s">
        <v>285</v>
      </c>
      <c r="D226" s="3" t="s">
        <v>17</v>
      </c>
      <c r="E226" s="3" t="s">
        <v>286</v>
      </c>
      <c r="F226" s="3" t="s">
        <v>19</v>
      </c>
      <c r="G226" s="4">
        <v>0</v>
      </c>
      <c r="H226" s="4">
        <v>4800000</v>
      </c>
      <c r="I226" s="3" t="s">
        <v>287</v>
      </c>
      <c r="J226" s="4">
        <v>40</v>
      </c>
      <c r="K226" s="3" t="s">
        <v>21</v>
      </c>
      <c r="L226" s="4">
        <v>4800000</v>
      </c>
      <c r="M226" s="1">
        <f>O226*J226*K226</f>
        <v>0</v>
      </c>
      <c r="N226" s="3"/>
      <c r="O226" s="2">
        <f>L226/J226*(1-K226)</f>
        <v>120000</v>
      </c>
    </row>
    <row r="227" ht="14.25">
      <c r="A227" s="3" t="s">
        <v>151</v>
      </c>
      <c r="B227" s="3" t="s">
        <v>151</v>
      </c>
      <c r="C227" s="3" t="s">
        <v>288</v>
      </c>
      <c r="D227" s="3" t="s">
        <v>17</v>
      </c>
      <c r="E227" s="3" t="s">
        <v>289</v>
      </c>
      <c r="F227" s="3" t="s">
        <v>19</v>
      </c>
      <c r="G227" s="4">
        <v>0</v>
      </c>
      <c r="H227" s="4">
        <v>0</v>
      </c>
      <c r="I227" s="3" t="s">
        <v>290</v>
      </c>
      <c r="J227" s="4">
        <v>43</v>
      </c>
      <c r="K227" s="3" t="s">
        <v>21</v>
      </c>
      <c r="L227" s="4">
        <v>0</v>
      </c>
      <c r="M227" s="1">
        <f>O227*J227*K227</f>
        <v>0</v>
      </c>
      <c r="N227" s="3"/>
      <c r="O227" s="2">
        <f>L227/J227*(1-K227)</f>
        <v>0</v>
      </c>
    </row>
    <row r="228" ht="14.25">
      <c r="A228" s="3" t="s">
        <v>151</v>
      </c>
      <c r="B228" s="3" t="s">
        <v>151</v>
      </c>
      <c r="C228" s="3" t="s">
        <v>288</v>
      </c>
      <c r="D228" s="3" t="s">
        <v>17</v>
      </c>
      <c r="E228" s="3" t="s">
        <v>289</v>
      </c>
      <c r="F228" s="3" t="s">
        <v>19</v>
      </c>
      <c r="G228" s="4">
        <v>0</v>
      </c>
      <c r="H228" s="4">
        <v>0</v>
      </c>
      <c r="I228" s="3" t="s">
        <v>291</v>
      </c>
      <c r="J228" s="4">
        <v>1</v>
      </c>
      <c r="K228" s="3" t="s">
        <v>21</v>
      </c>
      <c r="L228" s="4">
        <v>0</v>
      </c>
      <c r="M228" s="1">
        <f>O228*J228*K228</f>
        <v>0</v>
      </c>
      <c r="N228" s="3"/>
      <c r="O228" s="2">
        <f>L228/J228*(1-K228)</f>
        <v>0</v>
      </c>
    </row>
    <row r="229" ht="14.25">
      <c r="A229" s="3" t="s">
        <v>151</v>
      </c>
      <c r="B229" s="3" t="s">
        <v>284</v>
      </c>
      <c r="C229" s="3" t="s">
        <v>292</v>
      </c>
      <c r="D229" s="3" t="s">
        <v>17</v>
      </c>
      <c r="E229" s="3" t="s">
        <v>293</v>
      </c>
      <c r="F229" s="3" t="s">
        <v>19</v>
      </c>
      <c r="G229" s="4">
        <v>0</v>
      </c>
      <c r="H229" s="4">
        <v>16165744</v>
      </c>
      <c r="I229" s="3" t="s">
        <v>294</v>
      </c>
      <c r="J229" s="4">
        <v>15</v>
      </c>
      <c r="K229" s="3" t="s">
        <v>21</v>
      </c>
      <c r="L229" s="4">
        <v>2850000</v>
      </c>
      <c r="M229" s="1">
        <f>O229*J229*K229</f>
        <v>0</v>
      </c>
      <c r="N229" s="3"/>
      <c r="O229" s="2">
        <f>L229/J229*(1-K229)</f>
        <v>190000</v>
      </c>
    </row>
    <row r="230" ht="14.25">
      <c r="A230" s="3" t="s">
        <v>151</v>
      </c>
      <c r="B230" s="3" t="s">
        <v>284</v>
      </c>
      <c r="C230" s="3" t="s">
        <v>292</v>
      </c>
      <c r="D230" s="3" t="s">
        <v>17</v>
      </c>
      <c r="E230" s="3" t="s">
        <v>293</v>
      </c>
      <c r="F230" s="3" t="s">
        <v>19</v>
      </c>
      <c r="G230" s="4">
        <v>0</v>
      </c>
      <c r="H230" s="4">
        <v>16165744</v>
      </c>
      <c r="I230" s="3" t="s">
        <v>295</v>
      </c>
      <c r="J230" s="4">
        <v>96</v>
      </c>
      <c r="K230" s="3" t="s">
        <v>21</v>
      </c>
      <c r="L230" s="4">
        <v>2800032</v>
      </c>
      <c r="M230" s="1">
        <f>O230*J230*K230</f>
        <v>0</v>
      </c>
      <c r="N230" s="3"/>
      <c r="O230" s="2">
        <f>L230/J230*(1-K230)</f>
        <v>29167</v>
      </c>
    </row>
    <row r="231" ht="14.25">
      <c r="A231" s="3" t="s">
        <v>151</v>
      </c>
      <c r="B231" s="3" t="s">
        <v>284</v>
      </c>
      <c r="C231" s="3" t="s">
        <v>292</v>
      </c>
      <c r="D231" s="3" t="s">
        <v>17</v>
      </c>
      <c r="E231" s="3" t="s">
        <v>293</v>
      </c>
      <c r="F231" s="3" t="s">
        <v>19</v>
      </c>
      <c r="G231" s="4">
        <v>0</v>
      </c>
      <c r="H231" s="4">
        <v>16165744</v>
      </c>
      <c r="I231" s="3" t="s">
        <v>296</v>
      </c>
      <c r="J231" s="4">
        <v>48</v>
      </c>
      <c r="K231" s="3" t="s">
        <v>21</v>
      </c>
      <c r="L231" s="4">
        <v>1770816</v>
      </c>
      <c r="M231" s="1">
        <f>O231*J231*K231</f>
        <v>0</v>
      </c>
      <c r="N231" s="3"/>
      <c r="O231" s="2">
        <f>L231/J231*(1-K231)</f>
        <v>36892</v>
      </c>
    </row>
    <row r="232" ht="14.25">
      <c r="A232" s="3" t="s">
        <v>151</v>
      </c>
      <c r="B232" s="3" t="s">
        <v>284</v>
      </c>
      <c r="C232" s="3" t="s">
        <v>292</v>
      </c>
      <c r="D232" s="3" t="s">
        <v>17</v>
      </c>
      <c r="E232" s="3" t="s">
        <v>293</v>
      </c>
      <c r="F232" s="3" t="s">
        <v>19</v>
      </c>
      <c r="G232" s="4">
        <v>0</v>
      </c>
      <c r="H232" s="4">
        <v>16165744</v>
      </c>
      <c r="I232" s="3" t="s">
        <v>210</v>
      </c>
      <c r="J232" s="4">
        <v>18</v>
      </c>
      <c r="K232" s="3" t="s">
        <v>21</v>
      </c>
      <c r="L232" s="4">
        <v>751824</v>
      </c>
      <c r="M232" s="1">
        <f>O232*J232*K232</f>
        <v>0</v>
      </c>
      <c r="N232" s="3"/>
      <c r="O232" s="2">
        <f>L232/J232*(1-K232)</f>
        <v>41768</v>
      </c>
    </row>
    <row r="233" ht="14.25">
      <c r="A233" s="3" t="s">
        <v>151</v>
      </c>
      <c r="B233" s="3" t="s">
        <v>284</v>
      </c>
      <c r="C233" s="3" t="s">
        <v>292</v>
      </c>
      <c r="D233" s="3" t="s">
        <v>17</v>
      </c>
      <c r="E233" s="3" t="s">
        <v>293</v>
      </c>
      <c r="F233" s="3" t="s">
        <v>19</v>
      </c>
      <c r="G233" s="4">
        <v>0</v>
      </c>
      <c r="H233" s="4">
        <v>16165744</v>
      </c>
      <c r="I233" s="3" t="s">
        <v>297</v>
      </c>
      <c r="J233" s="4">
        <v>4</v>
      </c>
      <c r="K233" s="3" t="s">
        <v>21</v>
      </c>
      <c r="L233" s="4">
        <v>700000</v>
      </c>
      <c r="M233" s="1">
        <f>O233*J233*K233</f>
        <v>0</v>
      </c>
      <c r="N233" s="3"/>
      <c r="O233" s="2">
        <f>L233/J233*(1-K233)</f>
        <v>175000</v>
      </c>
    </row>
    <row r="234" ht="14.25">
      <c r="A234" s="3" t="s">
        <v>151</v>
      </c>
      <c r="B234" s="3" t="s">
        <v>284</v>
      </c>
      <c r="C234" s="3" t="s">
        <v>292</v>
      </c>
      <c r="D234" s="3" t="s">
        <v>17</v>
      </c>
      <c r="E234" s="3" t="s">
        <v>293</v>
      </c>
      <c r="F234" s="3" t="s">
        <v>19</v>
      </c>
      <c r="G234" s="4">
        <v>0</v>
      </c>
      <c r="H234" s="4">
        <v>16165744</v>
      </c>
      <c r="I234" s="3" t="s">
        <v>298</v>
      </c>
      <c r="J234" s="4">
        <v>96</v>
      </c>
      <c r="K234" s="3" t="s">
        <v>21</v>
      </c>
      <c r="L234" s="4">
        <v>2440032</v>
      </c>
      <c r="M234" s="1">
        <f>O234*J234*K234</f>
        <v>0</v>
      </c>
      <c r="N234" s="3"/>
      <c r="O234" s="2">
        <f>L234/J234*(1-K234)</f>
        <v>25417</v>
      </c>
    </row>
    <row r="235" ht="14.25">
      <c r="A235" s="3" t="s">
        <v>151</v>
      </c>
      <c r="B235" s="3" t="s">
        <v>284</v>
      </c>
      <c r="C235" s="3" t="s">
        <v>292</v>
      </c>
      <c r="D235" s="3" t="s">
        <v>17</v>
      </c>
      <c r="E235" s="3" t="s">
        <v>293</v>
      </c>
      <c r="F235" s="3" t="s">
        <v>19</v>
      </c>
      <c r="G235" s="4">
        <v>0</v>
      </c>
      <c r="H235" s="4">
        <v>16165744</v>
      </c>
      <c r="I235" s="3" t="s">
        <v>299</v>
      </c>
      <c r="J235" s="4">
        <v>120</v>
      </c>
      <c r="K235" s="3" t="s">
        <v>21</v>
      </c>
      <c r="L235" s="4">
        <v>3500040</v>
      </c>
      <c r="M235" s="1">
        <f>O235*J235*K235</f>
        <v>0</v>
      </c>
      <c r="N235" s="3"/>
      <c r="O235" s="2">
        <f>L235/J235*(1-K235)</f>
        <v>29167</v>
      </c>
    </row>
    <row r="236" ht="14.25">
      <c r="A236" s="3" t="s">
        <v>151</v>
      </c>
      <c r="B236" s="3" t="s">
        <v>284</v>
      </c>
      <c r="C236" s="3" t="s">
        <v>292</v>
      </c>
      <c r="D236" s="3" t="s">
        <v>17</v>
      </c>
      <c r="E236" s="3" t="s">
        <v>293</v>
      </c>
      <c r="F236" s="3" t="s">
        <v>19</v>
      </c>
      <c r="G236" s="4">
        <v>0</v>
      </c>
      <c r="H236" s="4">
        <v>16165744</v>
      </c>
      <c r="I236" s="3" t="s">
        <v>300</v>
      </c>
      <c r="J236" s="4">
        <v>24</v>
      </c>
      <c r="K236" s="3" t="s">
        <v>21</v>
      </c>
      <c r="L236" s="4">
        <v>852000</v>
      </c>
      <c r="M236" s="1">
        <f>O236*J236*K236</f>
        <v>0</v>
      </c>
      <c r="N236" s="3"/>
      <c r="O236" s="2">
        <f>L236/J236*(1-K236)</f>
        <v>35500</v>
      </c>
    </row>
    <row r="237" ht="14.25">
      <c r="A237" s="3" t="s">
        <v>151</v>
      </c>
      <c r="B237" s="3" t="s">
        <v>284</v>
      </c>
      <c r="C237" s="3" t="s">
        <v>292</v>
      </c>
      <c r="D237" s="3" t="s">
        <v>17</v>
      </c>
      <c r="E237" s="3" t="s">
        <v>293</v>
      </c>
      <c r="F237" s="3" t="s">
        <v>19</v>
      </c>
      <c r="G237" s="4">
        <v>0</v>
      </c>
      <c r="H237" s="4">
        <v>16165744</v>
      </c>
      <c r="I237" s="3" t="s">
        <v>184</v>
      </c>
      <c r="J237" s="4">
        <v>12</v>
      </c>
      <c r="K237" s="3" t="s">
        <v>21</v>
      </c>
      <c r="L237" s="4">
        <v>501000</v>
      </c>
      <c r="M237" s="1">
        <f>O237*J237*K237</f>
        <v>0</v>
      </c>
      <c r="N237" s="3"/>
      <c r="O237" s="2">
        <f>L237/J237*(1-K237)</f>
        <v>41750</v>
      </c>
    </row>
    <row r="238" ht="14.25">
      <c r="A238" s="3" t="s">
        <v>192</v>
      </c>
      <c r="B238" s="3" t="s">
        <v>301</v>
      </c>
      <c r="C238" s="3" t="s">
        <v>302</v>
      </c>
      <c r="D238" s="3" t="s">
        <v>17</v>
      </c>
      <c r="E238" s="3" t="s">
        <v>303</v>
      </c>
      <c r="F238" s="3" t="s">
        <v>19</v>
      </c>
      <c r="G238" s="4">
        <v>0</v>
      </c>
      <c r="H238" s="4">
        <v>22214960</v>
      </c>
      <c r="I238" s="3" t="s">
        <v>32</v>
      </c>
      <c r="J238" s="4">
        <v>720</v>
      </c>
      <c r="K238" s="3" t="s">
        <v>21</v>
      </c>
      <c r="L238" s="4">
        <v>16200000</v>
      </c>
      <c r="M238" s="1">
        <f>O238*J238*K238</f>
        <v>0</v>
      </c>
      <c r="N238" s="3"/>
      <c r="O238" s="2">
        <f>L238/J238*(1-K238)</f>
        <v>22500</v>
      </c>
    </row>
    <row r="239" ht="14.25">
      <c r="A239" s="3" t="s">
        <v>192</v>
      </c>
      <c r="B239" s="3" t="s">
        <v>301</v>
      </c>
      <c r="C239" s="3" t="s">
        <v>302</v>
      </c>
      <c r="D239" s="3" t="s">
        <v>17</v>
      </c>
      <c r="E239" s="3" t="s">
        <v>303</v>
      </c>
      <c r="F239" s="3" t="s">
        <v>19</v>
      </c>
      <c r="G239" s="4">
        <v>0</v>
      </c>
      <c r="H239" s="4">
        <v>22214960</v>
      </c>
      <c r="I239" s="3" t="s">
        <v>108</v>
      </c>
      <c r="J239" s="4">
        <v>240</v>
      </c>
      <c r="K239" s="3" t="s">
        <v>21</v>
      </c>
      <c r="L239" s="4">
        <v>5520000</v>
      </c>
      <c r="M239" s="1">
        <f>O239*J239*K239</f>
        <v>0</v>
      </c>
      <c r="N239" s="3"/>
      <c r="O239" s="2">
        <f>L239/J239*(1-K239)</f>
        <v>23000</v>
      </c>
    </row>
    <row r="240" ht="14.25">
      <c r="A240" s="3" t="s">
        <v>192</v>
      </c>
      <c r="B240" s="3" t="s">
        <v>301</v>
      </c>
      <c r="C240" s="3" t="s">
        <v>302</v>
      </c>
      <c r="D240" s="3" t="s">
        <v>17</v>
      </c>
      <c r="E240" s="3" t="s">
        <v>303</v>
      </c>
      <c r="F240" s="3" t="s">
        <v>19</v>
      </c>
      <c r="G240" s="4">
        <v>0</v>
      </c>
      <c r="H240" s="4">
        <v>22214960</v>
      </c>
      <c r="I240" s="3" t="s">
        <v>201</v>
      </c>
      <c r="J240" s="4">
        <v>16</v>
      </c>
      <c r="K240" s="3" t="s">
        <v>21</v>
      </c>
      <c r="L240" s="4">
        <v>494960</v>
      </c>
      <c r="M240" s="1">
        <f>O240*J240*K240</f>
        <v>0</v>
      </c>
      <c r="N240" s="3"/>
      <c r="O240" s="2">
        <f>L240/J240*(1-K240)</f>
        <v>30935</v>
      </c>
    </row>
    <row r="241" ht="14.25">
      <c r="A241" s="3" t="s">
        <v>192</v>
      </c>
      <c r="B241" s="3" t="s">
        <v>304</v>
      </c>
      <c r="C241" s="3" t="s">
        <v>305</v>
      </c>
      <c r="D241" s="3" t="s">
        <v>17</v>
      </c>
      <c r="E241" s="3" t="s">
        <v>168</v>
      </c>
      <c r="F241" s="3" t="s">
        <v>19</v>
      </c>
      <c r="G241" s="4">
        <v>0</v>
      </c>
      <c r="H241" s="4">
        <v>10485184</v>
      </c>
      <c r="I241" s="3" t="s">
        <v>68</v>
      </c>
      <c r="J241" s="4">
        <v>60</v>
      </c>
      <c r="K241" s="3" t="s">
        <v>21</v>
      </c>
      <c r="L241" s="4">
        <v>2505600</v>
      </c>
      <c r="M241" s="1">
        <f>O241*J241*K241</f>
        <v>0</v>
      </c>
      <c r="N241" s="3"/>
      <c r="O241" s="2">
        <f>L241/J241*(1-K241)</f>
        <v>41760</v>
      </c>
    </row>
    <row r="242" ht="14.25">
      <c r="A242" s="3" t="s">
        <v>192</v>
      </c>
      <c r="B242" s="3" t="s">
        <v>304</v>
      </c>
      <c r="C242" s="3" t="s">
        <v>305</v>
      </c>
      <c r="D242" s="3" t="s">
        <v>17</v>
      </c>
      <c r="E242" s="3" t="s">
        <v>168</v>
      </c>
      <c r="F242" s="3" t="s">
        <v>19</v>
      </c>
      <c r="G242" s="4">
        <v>0</v>
      </c>
      <c r="H242" s="4">
        <v>10485184</v>
      </c>
      <c r="I242" s="3" t="s">
        <v>36</v>
      </c>
      <c r="J242" s="4">
        <v>12</v>
      </c>
      <c r="K242" s="3" t="s">
        <v>21</v>
      </c>
      <c r="L242" s="4">
        <v>2275200</v>
      </c>
      <c r="M242" s="1">
        <f>O242*J242*K242</f>
        <v>0</v>
      </c>
      <c r="N242" s="3"/>
      <c r="O242" s="2">
        <f>L242/J242*(1-K242)</f>
        <v>189600</v>
      </c>
    </row>
    <row r="243" ht="14.25">
      <c r="A243" s="3" t="s">
        <v>192</v>
      </c>
      <c r="B243" s="3" t="s">
        <v>304</v>
      </c>
      <c r="C243" s="3" t="s">
        <v>305</v>
      </c>
      <c r="D243" s="3" t="s">
        <v>17</v>
      </c>
      <c r="E243" s="3" t="s">
        <v>168</v>
      </c>
      <c r="F243" s="3" t="s">
        <v>19</v>
      </c>
      <c r="G243" s="4">
        <v>0</v>
      </c>
      <c r="H243" s="4">
        <v>10485184</v>
      </c>
      <c r="I243" s="3" t="s">
        <v>200</v>
      </c>
      <c r="J243" s="4">
        <v>20</v>
      </c>
      <c r="K243" s="3" t="s">
        <v>21</v>
      </c>
      <c r="L243" s="4">
        <v>823680</v>
      </c>
      <c r="M243" s="1">
        <f>O243*J243*K243</f>
        <v>0</v>
      </c>
      <c r="N243" s="3"/>
      <c r="O243" s="2">
        <f>L243/J243*(1-K243)</f>
        <v>41184</v>
      </c>
    </row>
    <row r="244" ht="14.25">
      <c r="A244" s="3" t="s">
        <v>192</v>
      </c>
      <c r="B244" s="3" t="s">
        <v>304</v>
      </c>
      <c r="C244" s="3" t="s">
        <v>305</v>
      </c>
      <c r="D244" s="3" t="s">
        <v>17</v>
      </c>
      <c r="E244" s="3" t="s">
        <v>168</v>
      </c>
      <c r="F244" s="3" t="s">
        <v>19</v>
      </c>
      <c r="G244" s="4">
        <v>0</v>
      </c>
      <c r="H244" s="4">
        <v>10485184</v>
      </c>
      <c r="I244" s="3" t="s">
        <v>296</v>
      </c>
      <c r="J244" s="4">
        <v>24</v>
      </c>
      <c r="K244" s="3" t="s">
        <v>21</v>
      </c>
      <c r="L244" s="4">
        <v>923904</v>
      </c>
      <c r="M244" s="1">
        <f>O244*J244*K244</f>
        <v>0</v>
      </c>
      <c r="N244" s="3"/>
      <c r="O244" s="2">
        <f>L244/J244*(1-K244)</f>
        <v>38496</v>
      </c>
    </row>
    <row r="245" ht="14.25">
      <c r="A245" s="3" t="s">
        <v>192</v>
      </c>
      <c r="B245" s="3" t="s">
        <v>304</v>
      </c>
      <c r="C245" s="3" t="s">
        <v>305</v>
      </c>
      <c r="D245" s="3" t="s">
        <v>17</v>
      </c>
      <c r="E245" s="3" t="s">
        <v>168</v>
      </c>
      <c r="F245" s="3" t="s">
        <v>19</v>
      </c>
      <c r="G245" s="4">
        <v>0</v>
      </c>
      <c r="H245" s="4">
        <v>10485184</v>
      </c>
      <c r="I245" s="3" t="s">
        <v>109</v>
      </c>
      <c r="J245" s="4">
        <v>20</v>
      </c>
      <c r="K245" s="3" t="s">
        <v>21</v>
      </c>
      <c r="L245" s="4">
        <v>640000</v>
      </c>
      <c r="M245" s="1">
        <f>O245*J245*K245</f>
        <v>0</v>
      </c>
      <c r="N245" s="3"/>
      <c r="O245" s="2">
        <f>L245/J245*(1-K245)</f>
        <v>32000</v>
      </c>
    </row>
    <row r="246" ht="14.25">
      <c r="A246" s="3" t="s">
        <v>192</v>
      </c>
      <c r="B246" s="3" t="s">
        <v>304</v>
      </c>
      <c r="C246" s="3" t="s">
        <v>305</v>
      </c>
      <c r="D246" s="3" t="s">
        <v>17</v>
      </c>
      <c r="E246" s="3" t="s">
        <v>168</v>
      </c>
      <c r="F246" s="3" t="s">
        <v>19</v>
      </c>
      <c r="G246" s="4">
        <v>0</v>
      </c>
      <c r="H246" s="4">
        <v>10485184</v>
      </c>
      <c r="I246" s="3" t="s">
        <v>47</v>
      </c>
      <c r="J246" s="4">
        <v>48</v>
      </c>
      <c r="K246" s="3" t="s">
        <v>21</v>
      </c>
      <c r="L246" s="4">
        <v>1608000</v>
      </c>
      <c r="M246" s="1">
        <f>O246*J246*K246</f>
        <v>0</v>
      </c>
      <c r="N246" s="3"/>
      <c r="O246" s="2">
        <f>L246/J246*(1-K246)</f>
        <v>33500</v>
      </c>
    </row>
    <row r="247" ht="14.25">
      <c r="A247" s="3" t="s">
        <v>192</v>
      </c>
      <c r="B247" s="3" t="s">
        <v>304</v>
      </c>
      <c r="C247" s="3" t="s">
        <v>305</v>
      </c>
      <c r="D247" s="3" t="s">
        <v>17</v>
      </c>
      <c r="E247" s="3" t="s">
        <v>168</v>
      </c>
      <c r="F247" s="3" t="s">
        <v>19</v>
      </c>
      <c r="G247" s="4">
        <v>0</v>
      </c>
      <c r="H247" s="4">
        <v>10485184</v>
      </c>
      <c r="I247" s="3" t="s">
        <v>37</v>
      </c>
      <c r="J247" s="4">
        <v>24</v>
      </c>
      <c r="K247" s="3" t="s">
        <v>21</v>
      </c>
      <c r="L247" s="4">
        <v>552000</v>
      </c>
      <c r="M247" s="1">
        <f>O247*J247*K247</f>
        <v>0</v>
      </c>
      <c r="N247" s="3"/>
      <c r="O247" s="2">
        <f>L247/J247*(1-K247)</f>
        <v>23000</v>
      </c>
    </row>
    <row r="248" ht="14.25">
      <c r="A248" s="3" t="s">
        <v>192</v>
      </c>
      <c r="B248" s="3" t="s">
        <v>304</v>
      </c>
      <c r="C248" s="3" t="s">
        <v>305</v>
      </c>
      <c r="D248" s="3" t="s">
        <v>17</v>
      </c>
      <c r="E248" s="3" t="s">
        <v>168</v>
      </c>
      <c r="F248" s="3" t="s">
        <v>19</v>
      </c>
      <c r="G248" s="4">
        <v>0</v>
      </c>
      <c r="H248" s="4">
        <v>10485184</v>
      </c>
      <c r="I248" s="3" t="s">
        <v>124</v>
      </c>
      <c r="J248" s="4">
        <v>24</v>
      </c>
      <c r="K248" s="3" t="s">
        <v>21</v>
      </c>
      <c r="L248" s="4">
        <v>552000</v>
      </c>
      <c r="M248" s="1">
        <f>O248*J248*K248</f>
        <v>0</v>
      </c>
      <c r="N248" s="3"/>
      <c r="O248" s="2">
        <f>L248/J248*(1-K248)</f>
        <v>23000</v>
      </c>
    </row>
    <row r="249" ht="14.25">
      <c r="A249" s="3" t="s">
        <v>192</v>
      </c>
      <c r="B249" s="3" t="s">
        <v>304</v>
      </c>
      <c r="C249" s="3" t="s">
        <v>305</v>
      </c>
      <c r="D249" s="3" t="s">
        <v>17</v>
      </c>
      <c r="E249" s="3" t="s">
        <v>168</v>
      </c>
      <c r="F249" s="3" t="s">
        <v>19</v>
      </c>
      <c r="G249" s="4">
        <v>0</v>
      </c>
      <c r="H249" s="4">
        <v>10485184</v>
      </c>
      <c r="I249" s="3" t="s">
        <v>306</v>
      </c>
      <c r="J249" s="4">
        <v>3</v>
      </c>
      <c r="K249" s="3" t="s">
        <v>21</v>
      </c>
      <c r="L249" s="4">
        <v>604800</v>
      </c>
      <c r="M249" s="1">
        <f>O249*J249*K249</f>
        <v>0</v>
      </c>
      <c r="N249" s="3"/>
      <c r="O249" s="2">
        <f>L249/J249*(1-K249)</f>
        <v>201600</v>
      </c>
    </row>
    <row r="250" ht="14.25">
      <c r="A250" s="3" t="s">
        <v>192</v>
      </c>
      <c r="B250" s="3" t="s">
        <v>304</v>
      </c>
      <c r="C250" s="3" t="s">
        <v>307</v>
      </c>
      <c r="D250" s="3" t="s">
        <v>17</v>
      </c>
      <c r="E250" s="3" t="s">
        <v>43</v>
      </c>
      <c r="F250" s="3" t="s">
        <v>19</v>
      </c>
      <c r="G250" s="4">
        <v>0</v>
      </c>
      <c r="H250" s="4">
        <v>8996064</v>
      </c>
      <c r="I250" s="3" t="s">
        <v>44</v>
      </c>
      <c r="J250" s="4">
        <v>72</v>
      </c>
      <c r="K250" s="3" t="s">
        <v>21</v>
      </c>
      <c r="L250" s="4">
        <v>2304000</v>
      </c>
      <c r="M250" s="1">
        <f>O250*J250*K250</f>
        <v>0</v>
      </c>
      <c r="N250" s="3"/>
      <c r="O250" s="2">
        <f>L250/J250*(1-K250)</f>
        <v>32000</v>
      </c>
    </row>
    <row r="251" ht="14.25">
      <c r="A251" s="3" t="s">
        <v>192</v>
      </c>
      <c r="B251" s="3" t="s">
        <v>304</v>
      </c>
      <c r="C251" s="3" t="s">
        <v>307</v>
      </c>
      <c r="D251" s="3" t="s">
        <v>17</v>
      </c>
      <c r="E251" s="3" t="s">
        <v>43</v>
      </c>
      <c r="F251" s="3" t="s">
        <v>19</v>
      </c>
      <c r="G251" s="4">
        <v>0</v>
      </c>
      <c r="H251" s="4">
        <v>8996064</v>
      </c>
      <c r="I251" s="3" t="s">
        <v>45</v>
      </c>
      <c r="J251" s="4">
        <v>72</v>
      </c>
      <c r="K251" s="3" t="s">
        <v>21</v>
      </c>
      <c r="L251" s="4">
        <v>2304000</v>
      </c>
      <c r="M251" s="1">
        <f>O251*J251*K251</f>
        <v>0</v>
      </c>
      <c r="N251" s="3"/>
      <c r="O251" s="2">
        <f>L251/J251*(1-K251)</f>
        <v>32000</v>
      </c>
    </row>
    <row r="252" ht="14.25">
      <c r="A252" s="3" t="s">
        <v>192</v>
      </c>
      <c r="B252" s="3" t="s">
        <v>304</v>
      </c>
      <c r="C252" s="3" t="s">
        <v>307</v>
      </c>
      <c r="D252" s="3" t="s">
        <v>17</v>
      </c>
      <c r="E252" s="3" t="s">
        <v>43</v>
      </c>
      <c r="F252" s="3" t="s">
        <v>19</v>
      </c>
      <c r="G252" s="4">
        <v>0</v>
      </c>
      <c r="H252" s="4">
        <v>8996064</v>
      </c>
      <c r="I252" s="3" t="s">
        <v>113</v>
      </c>
      <c r="J252" s="4">
        <v>24</v>
      </c>
      <c r="K252" s="3" t="s">
        <v>21</v>
      </c>
      <c r="L252" s="4">
        <v>850008</v>
      </c>
      <c r="M252" s="1">
        <f>O252*J252*K252</f>
        <v>0</v>
      </c>
      <c r="N252" s="3"/>
      <c r="O252" s="2">
        <f>L252/J252*(1-K252)</f>
        <v>35417</v>
      </c>
    </row>
    <row r="253" ht="14.25">
      <c r="A253" s="3" t="s">
        <v>192</v>
      </c>
      <c r="B253" s="3" t="s">
        <v>304</v>
      </c>
      <c r="C253" s="3" t="s">
        <v>307</v>
      </c>
      <c r="D253" s="3" t="s">
        <v>17</v>
      </c>
      <c r="E253" s="3" t="s">
        <v>43</v>
      </c>
      <c r="F253" s="3" t="s">
        <v>19</v>
      </c>
      <c r="G253" s="4">
        <v>0</v>
      </c>
      <c r="H253" s="4">
        <v>8996064</v>
      </c>
      <c r="I253" s="3" t="s">
        <v>46</v>
      </c>
      <c r="J253" s="4">
        <v>24</v>
      </c>
      <c r="K253" s="3" t="s">
        <v>21</v>
      </c>
      <c r="L253" s="4">
        <v>850008</v>
      </c>
      <c r="M253" s="1">
        <f>O253*J253*K253</f>
        <v>0</v>
      </c>
      <c r="N253" s="3"/>
      <c r="O253" s="2">
        <f>L253/J253*(1-K253)</f>
        <v>35417</v>
      </c>
    </row>
    <row r="254" ht="14.25">
      <c r="A254" s="3" t="s">
        <v>192</v>
      </c>
      <c r="B254" s="3" t="s">
        <v>304</v>
      </c>
      <c r="C254" s="3" t="s">
        <v>307</v>
      </c>
      <c r="D254" s="3" t="s">
        <v>17</v>
      </c>
      <c r="E254" s="3" t="s">
        <v>43</v>
      </c>
      <c r="F254" s="3" t="s">
        <v>19</v>
      </c>
      <c r="G254" s="4">
        <v>0</v>
      </c>
      <c r="H254" s="4">
        <v>8996064</v>
      </c>
      <c r="I254" s="3" t="s">
        <v>47</v>
      </c>
      <c r="J254" s="4">
        <v>72</v>
      </c>
      <c r="K254" s="3" t="s">
        <v>21</v>
      </c>
      <c r="L254" s="4">
        <v>2688048</v>
      </c>
      <c r="M254" s="1">
        <f>O254*J254*K254</f>
        <v>0</v>
      </c>
      <c r="N254" s="3"/>
      <c r="O254" s="2">
        <f>L254/J254*(1-K254)</f>
        <v>37334</v>
      </c>
    </row>
    <row r="255" ht="14.25">
      <c r="A255" s="3" t="s">
        <v>192</v>
      </c>
      <c r="B255" s="3" t="s">
        <v>301</v>
      </c>
      <c r="C255" s="3" t="s">
        <v>308</v>
      </c>
      <c r="D255" s="3" t="s">
        <v>17</v>
      </c>
      <c r="E255" s="3" t="s">
        <v>309</v>
      </c>
      <c r="F255" s="3" t="s">
        <v>19</v>
      </c>
      <c r="G255" s="4">
        <v>0</v>
      </c>
      <c r="H255" s="4">
        <v>2300000</v>
      </c>
      <c r="I255" s="3" t="s">
        <v>179</v>
      </c>
      <c r="J255" s="4">
        <v>10</v>
      </c>
      <c r="K255" s="3" t="s">
        <v>21</v>
      </c>
      <c r="L255" s="4">
        <v>2300000</v>
      </c>
      <c r="M255" s="1">
        <f>O255*J255*K255</f>
        <v>0</v>
      </c>
      <c r="N255" s="3"/>
      <c r="O255" s="2">
        <f>L255/J255*(1-K255)</f>
        <v>230000</v>
      </c>
    </row>
    <row r="256" ht="14.25">
      <c r="A256" s="3" t="s">
        <v>192</v>
      </c>
      <c r="B256" s="3" t="s">
        <v>301</v>
      </c>
      <c r="C256" s="3" t="s">
        <v>310</v>
      </c>
      <c r="D256" s="3" t="s">
        <v>17</v>
      </c>
      <c r="E256" s="3" t="s">
        <v>286</v>
      </c>
      <c r="F256" s="3" t="s">
        <v>19</v>
      </c>
      <c r="G256" s="4">
        <v>0</v>
      </c>
      <c r="H256" s="4">
        <v>7200000</v>
      </c>
      <c r="I256" s="3" t="s">
        <v>35</v>
      </c>
      <c r="J256" s="4">
        <v>1</v>
      </c>
      <c r="K256" s="3" t="s">
        <v>21</v>
      </c>
      <c r="L256" s="4">
        <v>3600000</v>
      </c>
      <c r="M256" s="1">
        <f>O256*J256*K256</f>
        <v>0</v>
      </c>
      <c r="N256" s="3"/>
      <c r="O256" s="2">
        <f>L256/J256*(1-K256)</f>
        <v>3600000</v>
      </c>
    </row>
    <row r="257" ht="14.25">
      <c r="A257" s="3" t="s">
        <v>192</v>
      </c>
      <c r="B257" s="3" t="s">
        <v>301</v>
      </c>
      <c r="C257" s="3" t="s">
        <v>310</v>
      </c>
      <c r="D257" s="3" t="s">
        <v>17</v>
      </c>
      <c r="E257" s="3" t="s">
        <v>286</v>
      </c>
      <c r="F257" s="3" t="s">
        <v>19</v>
      </c>
      <c r="G257" s="4">
        <v>0</v>
      </c>
      <c r="H257" s="4">
        <v>7200000</v>
      </c>
      <c r="I257" s="3" t="s">
        <v>82</v>
      </c>
      <c r="J257" s="4">
        <v>1</v>
      </c>
      <c r="K257" s="3" t="s">
        <v>21</v>
      </c>
      <c r="L257" s="4">
        <v>3600000</v>
      </c>
      <c r="M257" s="1">
        <f>O257*J257*K257</f>
        <v>0</v>
      </c>
      <c r="N257" s="3"/>
      <c r="O257" s="2">
        <f>L257/J257*(1-K257)</f>
        <v>3600000</v>
      </c>
    </row>
    <row r="258" ht="14.25">
      <c r="A258" s="3" t="s">
        <v>192</v>
      </c>
      <c r="B258" s="3" t="s">
        <v>301</v>
      </c>
      <c r="C258" s="3" t="s">
        <v>311</v>
      </c>
      <c r="D258" s="3" t="s">
        <v>17</v>
      </c>
      <c r="E258" s="3" t="s">
        <v>312</v>
      </c>
      <c r="F258" s="3" t="s">
        <v>19</v>
      </c>
      <c r="G258" s="4">
        <v>0</v>
      </c>
      <c r="H258" s="4">
        <v>27906600</v>
      </c>
      <c r="I258" s="3" t="s">
        <v>162</v>
      </c>
      <c r="J258" s="4">
        <v>36</v>
      </c>
      <c r="K258" s="3" t="s">
        <v>21</v>
      </c>
      <c r="L258" s="4">
        <v>291600</v>
      </c>
      <c r="M258" s="1">
        <f>O258*J258*K258</f>
        <v>0</v>
      </c>
      <c r="N258" s="3"/>
      <c r="O258" s="2">
        <f>L258/J258*(1-K258)</f>
        <v>8100</v>
      </c>
    </row>
    <row r="259" ht="14.25">
      <c r="A259" s="3" t="s">
        <v>192</v>
      </c>
      <c r="B259" s="3" t="s">
        <v>301</v>
      </c>
      <c r="C259" s="3" t="s">
        <v>311</v>
      </c>
      <c r="D259" s="3" t="s">
        <v>17</v>
      </c>
      <c r="E259" s="3" t="s">
        <v>312</v>
      </c>
      <c r="F259" s="3" t="s">
        <v>19</v>
      </c>
      <c r="G259" s="4">
        <v>0</v>
      </c>
      <c r="H259" s="4">
        <v>27906600</v>
      </c>
      <c r="I259" s="3" t="s">
        <v>82</v>
      </c>
      <c r="J259" s="4">
        <v>1</v>
      </c>
      <c r="K259" s="3" t="s">
        <v>21</v>
      </c>
      <c r="L259" s="4">
        <v>3700000</v>
      </c>
      <c r="M259" s="1">
        <f>O259*J259*K259</f>
        <v>0</v>
      </c>
      <c r="N259" s="3"/>
      <c r="O259" s="2">
        <f>L259/J259*(1-K259)</f>
        <v>3700000</v>
      </c>
    </row>
    <row r="260" ht="14.25">
      <c r="A260" s="3" t="s">
        <v>192</v>
      </c>
      <c r="B260" s="3" t="s">
        <v>301</v>
      </c>
      <c r="C260" s="3" t="s">
        <v>311</v>
      </c>
      <c r="D260" s="3" t="s">
        <v>17</v>
      </c>
      <c r="E260" s="3" t="s">
        <v>312</v>
      </c>
      <c r="F260" s="3" t="s">
        <v>19</v>
      </c>
      <c r="G260" s="4">
        <v>0</v>
      </c>
      <c r="H260" s="4">
        <v>27906600</v>
      </c>
      <c r="I260" s="3" t="s">
        <v>86</v>
      </c>
      <c r="J260" s="4">
        <v>1</v>
      </c>
      <c r="K260" s="3" t="s">
        <v>21</v>
      </c>
      <c r="L260" s="4">
        <v>5100000</v>
      </c>
      <c r="M260" s="1">
        <f>O260*J260*K260</f>
        <v>0</v>
      </c>
      <c r="N260" s="3"/>
      <c r="O260" s="2">
        <f>L260/J260*(1-K260)</f>
        <v>5100000</v>
      </c>
    </row>
    <row r="261" ht="14.25">
      <c r="A261" s="3" t="s">
        <v>192</v>
      </c>
      <c r="B261" s="3" t="s">
        <v>301</v>
      </c>
      <c r="C261" s="3" t="s">
        <v>311</v>
      </c>
      <c r="D261" s="3" t="s">
        <v>17</v>
      </c>
      <c r="E261" s="3" t="s">
        <v>312</v>
      </c>
      <c r="F261" s="3" t="s">
        <v>19</v>
      </c>
      <c r="G261" s="4">
        <v>0</v>
      </c>
      <c r="H261" s="4">
        <v>27906600</v>
      </c>
      <c r="I261" s="3" t="s">
        <v>313</v>
      </c>
      <c r="J261" s="4">
        <v>1</v>
      </c>
      <c r="K261" s="3" t="s">
        <v>21</v>
      </c>
      <c r="L261" s="4">
        <v>7200000</v>
      </c>
      <c r="M261" s="1">
        <f>O261*J261*K261</f>
        <v>0</v>
      </c>
      <c r="N261" s="3"/>
      <c r="O261" s="2">
        <f>L261/J261*(1-K261)</f>
        <v>7200000</v>
      </c>
    </row>
    <row r="262" ht="14.25">
      <c r="A262" s="3" t="s">
        <v>192</v>
      </c>
      <c r="B262" s="3" t="s">
        <v>301</v>
      </c>
      <c r="C262" s="3" t="s">
        <v>311</v>
      </c>
      <c r="D262" s="3" t="s">
        <v>17</v>
      </c>
      <c r="E262" s="3" t="s">
        <v>312</v>
      </c>
      <c r="F262" s="3" t="s">
        <v>19</v>
      </c>
      <c r="G262" s="4">
        <v>0</v>
      </c>
      <c r="H262" s="4">
        <v>27906600</v>
      </c>
      <c r="I262" s="3" t="s">
        <v>314</v>
      </c>
      <c r="J262" s="4">
        <v>10</v>
      </c>
      <c r="K262" s="3" t="s">
        <v>21</v>
      </c>
      <c r="L262" s="4">
        <v>11615000</v>
      </c>
      <c r="M262" s="1">
        <f>O262*J262*K262</f>
        <v>0</v>
      </c>
      <c r="N262" s="3"/>
      <c r="O262" s="2">
        <f>L262/J262*(1-K262)</f>
        <v>1161500</v>
      </c>
    </row>
    <row r="263" ht="14.25">
      <c r="A263" s="3" t="s">
        <v>192</v>
      </c>
      <c r="B263" s="3" t="s">
        <v>301</v>
      </c>
      <c r="C263" s="3" t="s">
        <v>315</v>
      </c>
      <c r="D263" s="3" t="s">
        <v>17</v>
      </c>
      <c r="E263" s="3" t="s">
        <v>34</v>
      </c>
      <c r="F263" s="3" t="s">
        <v>19</v>
      </c>
      <c r="G263" s="4">
        <v>0</v>
      </c>
      <c r="H263" s="4">
        <v>16535824</v>
      </c>
      <c r="I263" s="3" t="s">
        <v>35</v>
      </c>
      <c r="J263" s="4">
        <v>2</v>
      </c>
      <c r="K263" s="3" t="s">
        <v>21</v>
      </c>
      <c r="L263" s="4">
        <v>7100000</v>
      </c>
      <c r="M263" s="1">
        <f>O263*J263*K263</f>
        <v>0</v>
      </c>
      <c r="N263" s="3"/>
      <c r="O263" s="2">
        <f>L263/J263*(1-K263)</f>
        <v>3550000</v>
      </c>
    </row>
    <row r="264" ht="14.25">
      <c r="A264" s="3" t="s">
        <v>192</v>
      </c>
      <c r="B264" s="3" t="s">
        <v>301</v>
      </c>
      <c r="C264" s="3" t="s">
        <v>315</v>
      </c>
      <c r="D264" s="3" t="s">
        <v>17</v>
      </c>
      <c r="E264" s="3" t="s">
        <v>34</v>
      </c>
      <c r="F264" s="3" t="s">
        <v>19</v>
      </c>
      <c r="G264" s="4">
        <v>0</v>
      </c>
      <c r="H264" s="4">
        <v>16535824</v>
      </c>
      <c r="I264" s="3" t="s">
        <v>79</v>
      </c>
      <c r="J264" s="4">
        <v>5</v>
      </c>
      <c r="K264" s="3" t="s">
        <v>21</v>
      </c>
      <c r="L264" s="4">
        <v>3250000</v>
      </c>
      <c r="M264" s="1">
        <f>O264*J264*K264</f>
        <v>0</v>
      </c>
      <c r="N264" s="3"/>
      <c r="O264" s="2">
        <f>L264/J264*(1-K264)</f>
        <v>650000</v>
      </c>
    </row>
    <row r="265" ht="14.25">
      <c r="A265" s="3" t="s">
        <v>192</v>
      </c>
      <c r="B265" s="3" t="s">
        <v>301</v>
      </c>
      <c r="C265" s="3" t="s">
        <v>315</v>
      </c>
      <c r="D265" s="3" t="s">
        <v>17</v>
      </c>
      <c r="E265" s="3" t="s">
        <v>34</v>
      </c>
      <c r="F265" s="3" t="s">
        <v>19</v>
      </c>
      <c r="G265" s="4">
        <v>0</v>
      </c>
      <c r="H265" s="4">
        <v>16535824</v>
      </c>
      <c r="I265" s="3" t="s">
        <v>29</v>
      </c>
      <c r="J265" s="4">
        <v>4</v>
      </c>
      <c r="K265" s="3" t="s">
        <v>21</v>
      </c>
      <c r="L265" s="4">
        <v>1920000</v>
      </c>
      <c r="M265" s="1">
        <f>O265*J265*K265</f>
        <v>0</v>
      </c>
      <c r="N265" s="3"/>
      <c r="O265" s="2">
        <f>L265/J265*(1-K265)</f>
        <v>480000</v>
      </c>
    </row>
    <row r="266" ht="14.25">
      <c r="A266" s="3" t="s">
        <v>192</v>
      </c>
      <c r="B266" s="3" t="s">
        <v>301</v>
      </c>
      <c r="C266" s="3" t="s">
        <v>315</v>
      </c>
      <c r="D266" s="3" t="s">
        <v>17</v>
      </c>
      <c r="E266" s="3" t="s">
        <v>34</v>
      </c>
      <c r="F266" s="3" t="s">
        <v>19</v>
      </c>
      <c r="G266" s="4">
        <v>0</v>
      </c>
      <c r="H266" s="4">
        <v>16535824</v>
      </c>
      <c r="I266" s="3" t="s">
        <v>57</v>
      </c>
      <c r="J266" s="4">
        <v>48</v>
      </c>
      <c r="K266" s="3" t="s">
        <v>21</v>
      </c>
      <c r="L266" s="4">
        <v>1056000</v>
      </c>
      <c r="M266" s="1">
        <f>O266*J266*K266</f>
        <v>0</v>
      </c>
      <c r="N266" s="3"/>
      <c r="O266" s="2">
        <f>L266/J266*(1-K266)</f>
        <v>22000</v>
      </c>
    </row>
    <row r="267" ht="14.25">
      <c r="A267" s="3" t="s">
        <v>192</v>
      </c>
      <c r="B267" s="3" t="s">
        <v>301</v>
      </c>
      <c r="C267" s="3" t="s">
        <v>315</v>
      </c>
      <c r="D267" s="3" t="s">
        <v>17</v>
      </c>
      <c r="E267" s="3" t="s">
        <v>34</v>
      </c>
      <c r="F267" s="3" t="s">
        <v>19</v>
      </c>
      <c r="G267" s="4">
        <v>0</v>
      </c>
      <c r="H267" s="4">
        <v>16535824</v>
      </c>
      <c r="I267" s="3" t="s">
        <v>188</v>
      </c>
      <c r="J267" s="4">
        <v>4</v>
      </c>
      <c r="K267" s="3" t="s">
        <v>21</v>
      </c>
      <c r="L267" s="4">
        <v>987360</v>
      </c>
      <c r="M267" s="1">
        <f>O267*J267*K267</f>
        <v>0</v>
      </c>
      <c r="N267" s="3"/>
      <c r="O267" s="2">
        <f>L267/J267*(1-K267)</f>
        <v>246840</v>
      </c>
    </row>
    <row r="268" ht="14.25">
      <c r="A268" s="3" t="s">
        <v>192</v>
      </c>
      <c r="B268" s="3" t="s">
        <v>301</v>
      </c>
      <c r="C268" s="3" t="s">
        <v>315</v>
      </c>
      <c r="D268" s="3" t="s">
        <v>17</v>
      </c>
      <c r="E268" s="3" t="s">
        <v>34</v>
      </c>
      <c r="F268" s="3" t="s">
        <v>19</v>
      </c>
      <c r="G268" s="4">
        <v>0</v>
      </c>
      <c r="H268" s="4">
        <v>16535824</v>
      </c>
      <c r="I268" s="3" t="s">
        <v>261</v>
      </c>
      <c r="J268" s="4">
        <v>12</v>
      </c>
      <c r="K268" s="3" t="s">
        <v>21</v>
      </c>
      <c r="L268" s="4">
        <v>771120</v>
      </c>
      <c r="M268" s="1">
        <f>O268*J268*K268</f>
        <v>0</v>
      </c>
      <c r="N268" s="3"/>
      <c r="O268" s="2">
        <f>L268/J268*(1-K268)</f>
        <v>64260</v>
      </c>
    </row>
    <row r="269" ht="14.25">
      <c r="A269" s="3" t="s">
        <v>192</v>
      </c>
      <c r="B269" s="3" t="s">
        <v>301</v>
      </c>
      <c r="C269" s="3" t="s">
        <v>315</v>
      </c>
      <c r="D269" s="3" t="s">
        <v>17</v>
      </c>
      <c r="E269" s="3" t="s">
        <v>34</v>
      </c>
      <c r="F269" s="3" t="s">
        <v>19</v>
      </c>
      <c r="G269" s="4">
        <v>0</v>
      </c>
      <c r="H269" s="4">
        <v>16535824</v>
      </c>
      <c r="I269" s="3" t="s">
        <v>69</v>
      </c>
      <c r="J269" s="4">
        <v>4</v>
      </c>
      <c r="K269" s="3" t="s">
        <v>21</v>
      </c>
      <c r="L269" s="4">
        <v>1451344</v>
      </c>
      <c r="M269" s="1">
        <f>O269*J269*K269</f>
        <v>0</v>
      </c>
      <c r="N269" s="3"/>
      <c r="O269" s="2">
        <f>L269/J269*(1-K269)</f>
        <v>362836</v>
      </c>
    </row>
    <row r="270" ht="14.25">
      <c r="A270" s="3" t="s">
        <v>192</v>
      </c>
      <c r="B270" s="3" t="s">
        <v>301</v>
      </c>
      <c r="C270" s="3" t="s">
        <v>316</v>
      </c>
      <c r="D270" s="3" t="s">
        <v>17</v>
      </c>
      <c r="E270" s="3" t="s">
        <v>317</v>
      </c>
      <c r="F270" s="3" t="s">
        <v>19</v>
      </c>
      <c r="G270" s="4">
        <v>0</v>
      </c>
      <c r="H270" s="4">
        <v>0</v>
      </c>
      <c r="I270" s="3" t="s">
        <v>318</v>
      </c>
      <c r="J270" s="4">
        <v>10</v>
      </c>
      <c r="K270" s="3" t="s">
        <v>21</v>
      </c>
      <c r="L270" s="4">
        <v>0</v>
      </c>
      <c r="M270" s="1">
        <f>O270*J270*K270</f>
        <v>0</v>
      </c>
      <c r="N270" s="3"/>
      <c r="O270" s="2">
        <f>L270/J270*(1-K270)</f>
        <v>0</v>
      </c>
    </row>
    <row r="271" ht="14.25">
      <c r="A271" s="3" t="s">
        <v>192</v>
      </c>
      <c r="B271" s="3" t="s">
        <v>301</v>
      </c>
      <c r="C271" s="3" t="s">
        <v>316</v>
      </c>
      <c r="D271" s="3" t="s">
        <v>17</v>
      </c>
      <c r="E271" s="3" t="s">
        <v>317</v>
      </c>
      <c r="F271" s="3" t="s">
        <v>19</v>
      </c>
      <c r="G271" s="4">
        <v>0</v>
      </c>
      <c r="H271" s="4">
        <v>0</v>
      </c>
      <c r="I271" s="3" t="s">
        <v>319</v>
      </c>
      <c r="J271" s="4">
        <v>10</v>
      </c>
      <c r="K271" s="3" t="s">
        <v>21</v>
      </c>
      <c r="L271" s="4">
        <v>0</v>
      </c>
      <c r="M271" s="1">
        <f>O271*J271*K271</f>
        <v>0</v>
      </c>
      <c r="N271" s="3"/>
      <c r="O271" s="2">
        <f>L271/J271*(1-K271)</f>
        <v>0</v>
      </c>
    </row>
    <row r="272" ht="14.25">
      <c r="A272" s="3" t="s">
        <v>192</v>
      </c>
      <c r="B272" s="3" t="s">
        <v>301</v>
      </c>
      <c r="C272" s="3" t="s">
        <v>316</v>
      </c>
      <c r="D272" s="3" t="s">
        <v>17</v>
      </c>
      <c r="E272" s="3" t="s">
        <v>317</v>
      </c>
      <c r="F272" s="3" t="s">
        <v>19</v>
      </c>
      <c r="G272" s="4">
        <v>0</v>
      </c>
      <c r="H272" s="4">
        <v>0</v>
      </c>
      <c r="I272" s="3" t="s">
        <v>194</v>
      </c>
      <c r="J272" s="4">
        <v>5</v>
      </c>
      <c r="K272" s="3" t="s">
        <v>21</v>
      </c>
      <c r="L272" s="4">
        <v>0</v>
      </c>
      <c r="M272" s="1">
        <f>O272*J272*K272</f>
        <v>0</v>
      </c>
      <c r="N272" s="3"/>
      <c r="O272" s="2">
        <f>L272/J272*(1-K272)</f>
        <v>0</v>
      </c>
    </row>
    <row r="273" ht="14.25">
      <c r="A273" s="3" t="s">
        <v>192</v>
      </c>
      <c r="B273" s="3" t="s">
        <v>301</v>
      </c>
      <c r="C273" s="3" t="s">
        <v>320</v>
      </c>
      <c r="D273" s="3" t="s">
        <v>17</v>
      </c>
      <c r="E273" s="3" t="s">
        <v>309</v>
      </c>
      <c r="F273" s="3" t="s">
        <v>19</v>
      </c>
      <c r="G273" s="4">
        <v>0</v>
      </c>
      <c r="H273" s="4">
        <v>2940000</v>
      </c>
      <c r="I273" s="3" t="s">
        <v>321</v>
      </c>
      <c r="J273" s="4">
        <v>10</v>
      </c>
      <c r="K273" s="3" t="s">
        <v>21</v>
      </c>
      <c r="L273" s="4">
        <v>2300000</v>
      </c>
      <c r="M273" s="1">
        <f>O273*J273*K273</f>
        <v>0</v>
      </c>
      <c r="N273" s="3"/>
      <c r="O273" s="2">
        <f>L273/J273*(1-K273)</f>
        <v>230000</v>
      </c>
    </row>
    <row r="274" ht="14.25">
      <c r="A274" s="3" t="s">
        <v>192</v>
      </c>
      <c r="B274" s="3" t="s">
        <v>301</v>
      </c>
      <c r="C274" s="3" t="s">
        <v>320</v>
      </c>
      <c r="D274" s="3" t="s">
        <v>17</v>
      </c>
      <c r="E274" s="3" t="s">
        <v>309</v>
      </c>
      <c r="F274" s="3" t="s">
        <v>19</v>
      </c>
      <c r="G274" s="4">
        <v>0</v>
      </c>
      <c r="H274" s="4">
        <v>2940000</v>
      </c>
      <c r="I274" s="3" t="s">
        <v>322</v>
      </c>
      <c r="J274" s="4">
        <v>1</v>
      </c>
      <c r="K274" s="3" t="s">
        <v>21</v>
      </c>
      <c r="L274" s="4">
        <v>640000</v>
      </c>
      <c r="M274" s="1">
        <f>O274*J274*K274</f>
        <v>0</v>
      </c>
      <c r="N274" s="3"/>
      <c r="O274" s="2">
        <f>L274/J274*(1-K274)</f>
        <v>640000</v>
      </c>
    </row>
    <row r="275" ht="14.25">
      <c r="A275" s="3" t="s">
        <v>192</v>
      </c>
      <c r="B275" s="3" t="s">
        <v>301</v>
      </c>
      <c r="C275" s="3" t="s">
        <v>323</v>
      </c>
      <c r="D275" s="3" t="s">
        <v>17</v>
      </c>
      <c r="E275" s="3" t="s">
        <v>324</v>
      </c>
      <c r="F275" s="3" t="s">
        <v>19</v>
      </c>
      <c r="G275" s="4">
        <v>0</v>
      </c>
      <c r="H275" s="4">
        <v>117744000</v>
      </c>
      <c r="I275" s="3" t="s">
        <v>325</v>
      </c>
      <c r="J275" s="4">
        <v>320</v>
      </c>
      <c r="K275" s="3" t="s">
        <v>326</v>
      </c>
      <c r="L275" s="4">
        <v>64000000</v>
      </c>
      <c r="M275" s="1">
        <f>O275*J275*K275</f>
        <v>13440000</v>
      </c>
      <c r="N275" s="3"/>
      <c r="O275" s="2">
        <f>L275/J275*(1-K275)</f>
        <v>140000</v>
      </c>
    </row>
    <row r="276" ht="14.25">
      <c r="A276" s="3" t="s">
        <v>192</v>
      </c>
      <c r="B276" s="3" t="s">
        <v>301</v>
      </c>
      <c r="C276" s="3" t="s">
        <v>323</v>
      </c>
      <c r="D276" s="3" t="s">
        <v>17</v>
      </c>
      <c r="E276" s="3" t="s">
        <v>324</v>
      </c>
      <c r="F276" s="3" t="s">
        <v>19</v>
      </c>
      <c r="G276" s="4">
        <v>0</v>
      </c>
      <c r="H276" s="4">
        <v>117744000</v>
      </c>
      <c r="I276" s="3" t="s">
        <v>327</v>
      </c>
      <c r="J276" s="4">
        <v>240</v>
      </c>
      <c r="K276" s="3" t="s">
        <v>326</v>
      </c>
      <c r="L276" s="4">
        <v>13200000</v>
      </c>
      <c r="M276" s="1">
        <f>O276*J276*K276</f>
        <v>2772000</v>
      </c>
      <c r="N276" s="3"/>
      <c r="O276" s="2">
        <f>L276/J276*(1-K276)</f>
        <v>38500</v>
      </c>
    </row>
    <row r="277" ht="14.25">
      <c r="A277" s="3" t="s">
        <v>192</v>
      </c>
      <c r="B277" s="3" t="s">
        <v>301</v>
      </c>
      <c r="C277" s="3" t="s">
        <v>323</v>
      </c>
      <c r="D277" s="3" t="s">
        <v>17</v>
      </c>
      <c r="E277" s="3" t="s">
        <v>324</v>
      </c>
      <c r="F277" s="3" t="s">
        <v>19</v>
      </c>
      <c r="G277" s="4">
        <v>0</v>
      </c>
      <c r="H277" s="4">
        <v>117744000</v>
      </c>
      <c r="I277" s="3" t="s">
        <v>328</v>
      </c>
      <c r="J277" s="4">
        <v>400</v>
      </c>
      <c r="K277" s="3" t="s">
        <v>326</v>
      </c>
      <c r="L277" s="4">
        <v>80000000</v>
      </c>
      <c r="M277" s="1">
        <f>O277*J277*K277</f>
        <v>16800000</v>
      </c>
      <c r="N277" s="3"/>
      <c r="O277" s="2">
        <f>L277/J277*(1-K277)</f>
        <v>140000</v>
      </c>
    </row>
    <row r="278" ht="14.25">
      <c r="A278" s="3" t="s">
        <v>192</v>
      </c>
      <c r="B278" s="3" t="s">
        <v>301</v>
      </c>
      <c r="C278" s="3" t="s">
        <v>323</v>
      </c>
      <c r="D278" s="3" t="s">
        <v>17</v>
      </c>
      <c r="E278" s="3" t="s">
        <v>324</v>
      </c>
      <c r="F278" s="3" t="s">
        <v>19</v>
      </c>
      <c r="G278" s="4">
        <v>0</v>
      </c>
      <c r="H278" s="4">
        <v>117744000</v>
      </c>
      <c r="I278" s="3" t="s">
        <v>329</v>
      </c>
      <c r="J278" s="4">
        <v>240</v>
      </c>
      <c r="K278" s="3" t="s">
        <v>326</v>
      </c>
      <c r="L278" s="4">
        <v>13200000</v>
      </c>
      <c r="M278" s="1">
        <f>O278*J278*K278</f>
        <v>2772000</v>
      </c>
      <c r="N278" s="3"/>
      <c r="O278" s="2">
        <f>L278/J278*(1-K278)</f>
        <v>38500</v>
      </c>
    </row>
    <row r="279" ht="14.25">
      <c r="A279" s="3" t="s">
        <v>192</v>
      </c>
      <c r="B279" s="3" t="s">
        <v>301</v>
      </c>
      <c r="C279" s="3" t="s">
        <v>323</v>
      </c>
      <c r="D279" s="3" t="s">
        <v>17</v>
      </c>
      <c r="E279" s="3" t="s">
        <v>324</v>
      </c>
      <c r="F279" s="3" t="s">
        <v>19</v>
      </c>
      <c r="G279" s="4">
        <v>0</v>
      </c>
      <c r="H279" s="4">
        <v>117744000</v>
      </c>
      <c r="I279" s="3" t="s">
        <v>330</v>
      </c>
      <c r="J279" s="4">
        <v>960</v>
      </c>
      <c r="K279" s="3" t="s">
        <v>331</v>
      </c>
      <c r="L279" s="4">
        <v>13440000</v>
      </c>
      <c r="M279" s="1">
        <f>O279*J279*K279</f>
        <v>3225600</v>
      </c>
      <c r="N279" s="3"/>
      <c r="O279" s="2">
        <f>L279/J279*(1-K279)</f>
        <v>8400</v>
      </c>
    </row>
    <row r="280" ht="14.25">
      <c r="A280" s="3" t="s">
        <v>226</v>
      </c>
      <c r="B280" s="3" t="s">
        <v>332</v>
      </c>
      <c r="C280" s="3" t="s">
        <v>333</v>
      </c>
      <c r="D280" s="3" t="s">
        <v>17</v>
      </c>
      <c r="E280" s="3" t="s">
        <v>334</v>
      </c>
      <c r="F280" s="3" t="s">
        <v>19</v>
      </c>
      <c r="G280" s="4">
        <v>0</v>
      </c>
      <c r="H280" s="4">
        <v>1250000</v>
      </c>
      <c r="I280" s="3" t="s">
        <v>335</v>
      </c>
      <c r="J280" s="4">
        <v>1</v>
      </c>
      <c r="K280" s="3" t="s">
        <v>21</v>
      </c>
      <c r="L280" s="4">
        <v>1250000</v>
      </c>
      <c r="M280" s="1">
        <f>O280*J280*K280</f>
        <v>0</v>
      </c>
      <c r="N280" s="3"/>
      <c r="O280" s="2">
        <f>L280/J280*(1-K280)</f>
        <v>1250000</v>
      </c>
    </row>
    <row r="281" ht="14.25">
      <c r="A281" s="3" t="s">
        <v>226</v>
      </c>
      <c r="B281" s="3" t="s">
        <v>332</v>
      </c>
      <c r="C281" s="3" t="s">
        <v>336</v>
      </c>
      <c r="D281" s="3" t="s">
        <v>17</v>
      </c>
      <c r="E281" s="3" t="s">
        <v>337</v>
      </c>
      <c r="F281" s="3" t="s">
        <v>19</v>
      </c>
      <c r="G281" s="4">
        <v>0</v>
      </c>
      <c r="H281" s="4">
        <v>6700000</v>
      </c>
      <c r="I281" s="3" t="s">
        <v>338</v>
      </c>
      <c r="J281" s="4">
        <v>1</v>
      </c>
      <c r="K281" s="3" t="s">
        <v>21</v>
      </c>
      <c r="L281" s="4">
        <v>6700000</v>
      </c>
      <c r="M281" s="1">
        <f>O281*J281*K281</f>
        <v>0</v>
      </c>
      <c r="N281" s="3"/>
      <c r="O281" s="2">
        <f>L281/J281*(1-K281)</f>
        <v>6700000</v>
      </c>
    </row>
    <row r="282" ht="14.25">
      <c r="A282" s="3" t="s">
        <v>226</v>
      </c>
      <c r="B282" s="3" t="s">
        <v>332</v>
      </c>
      <c r="C282" s="3" t="s">
        <v>339</v>
      </c>
      <c r="D282" s="3" t="s">
        <v>17</v>
      </c>
      <c r="E282" s="3" t="s">
        <v>340</v>
      </c>
      <c r="F282" s="3" t="s">
        <v>19</v>
      </c>
      <c r="G282" s="4">
        <v>0</v>
      </c>
      <c r="H282" s="4">
        <v>1030000</v>
      </c>
      <c r="I282" s="3" t="s">
        <v>250</v>
      </c>
      <c r="J282" s="4">
        <v>4</v>
      </c>
      <c r="K282" s="3" t="s">
        <v>21</v>
      </c>
      <c r="L282" s="4">
        <v>700000</v>
      </c>
      <c r="M282" s="1">
        <f>O282*J282*K282</f>
        <v>0</v>
      </c>
      <c r="N282" s="3"/>
      <c r="O282" s="2">
        <f>L282/J282*(1-K282)</f>
        <v>175000</v>
      </c>
    </row>
    <row r="283" ht="14.25">
      <c r="A283" s="3" t="s">
        <v>226</v>
      </c>
      <c r="B283" s="3" t="s">
        <v>332</v>
      </c>
      <c r="C283" s="3" t="s">
        <v>339</v>
      </c>
      <c r="D283" s="3" t="s">
        <v>17</v>
      </c>
      <c r="E283" s="3" t="s">
        <v>340</v>
      </c>
      <c r="F283" s="3" t="s">
        <v>19</v>
      </c>
      <c r="G283" s="4">
        <v>0</v>
      </c>
      <c r="H283" s="4">
        <v>1030000</v>
      </c>
      <c r="I283" s="3" t="s">
        <v>341</v>
      </c>
      <c r="J283" s="4">
        <v>6</v>
      </c>
      <c r="K283" s="3" t="s">
        <v>21</v>
      </c>
      <c r="L283" s="4">
        <v>330000</v>
      </c>
      <c r="M283" s="1">
        <f>O283*J283*K283</f>
        <v>0</v>
      </c>
      <c r="N283" s="3"/>
      <c r="O283" s="2">
        <f>L283/J283*(1-K283)</f>
        <v>55000</v>
      </c>
    </row>
    <row r="284" ht="14.25">
      <c r="A284" s="3" t="s">
        <v>226</v>
      </c>
      <c r="B284" s="3" t="s">
        <v>332</v>
      </c>
      <c r="C284" s="3" t="s">
        <v>342</v>
      </c>
      <c r="D284" s="3" t="s">
        <v>17</v>
      </c>
      <c r="E284" s="3" t="s">
        <v>93</v>
      </c>
      <c r="F284" s="3" t="s">
        <v>19</v>
      </c>
      <c r="G284" s="4">
        <v>0</v>
      </c>
      <c r="H284" s="4">
        <v>600000</v>
      </c>
      <c r="I284" s="3" t="s">
        <v>343</v>
      </c>
      <c r="J284" s="4">
        <v>1</v>
      </c>
      <c r="K284" s="3" t="s">
        <v>21</v>
      </c>
      <c r="L284" s="4">
        <v>600000</v>
      </c>
      <c r="M284" s="1">
        <f>O284*J284*K284</f>
        <v>0</v>
      </c>
      <c r="N284" s="3"/>
      <c r="O284" s="2">
        <f>L284/J284*(1-K284)</f>
        <v>600000</v>
      </c>
    </row>
    <row r="285" ht="14.25">
      <c r="A285" s="3" t="s">
        <v>235</v>
      </c>
      <c r="B285" s="3" t="s">
        <v>344</v>
      </c>
      <c r="C285" s="3" t="s">
        <v>345</v>
      </c>
      <c r="D285" s="3" t="s">
        <v>17</v>
      </c>
      <c r="E285" s="3" t="s">
        <v>346</v>
      </c>
      <c r="F285" s="3" t="s">
        <v>19</v>
      </c>
      <c r="G285" s="4">
        <v>0</v>
      </c>
      <c r="H285" s="4">
        <v>75300000</v>
      </c>
      <c r="I285" s="3" t="s">
        <v>86</v>
      </c>
      <c r="J285" s="4">
        <v>3</v>
      </c>
      <c r="K285" s="3" t="s">
        <v>21</v>
      </c>
      <c r="L285" s="4">
        <v>15300000</v>
      </c>
      <c r="M285" s="1">
        <f>O285*J285*K285</f>
        <v>0</v>
      </c>
      <c r="N285" s="3"/>
      <c r="O285" s="2">
        <f>L285/J285*(1-K285)</f>
        <v>5100000</v>
      </c>
    </row>
    <row r="286" ht="14.25">
      <c r="A286" s="3" t="s">
        <v>235</v>
      </c>
      <c r="B286" s="3" t="s">
        <v>344</v>
      </c>
      <c r="C286" s="3" t="s">
        <v>345</v>
      </c>
      <c r="D286" s="3" t="s">
        <v>17</v>
      </c>
      <c r="E286" s="3" t="s">
        <v>346</v>
      </c>
      <c r="F286" s="3" t="s">
        <v>19</v>
      </c>
      <c r="G286" s="4">
        <v>0</v>
      </c>
      <c r="H286" s="4">
        <v>75300000</v>
      </c>
      <c r="I286" s="3" t="s">
        <v>347</v>
      </c>
      <c r="J286" s="4">
        <v>5</v>
      </c>
      <c r="K286" s="3" t="s">
        <v>21</v>
      </c>
      <c r="L286" s="4">
        <v>20000000</v>
      </c>
      <c r="M286" s="1">
        <f>O286*J286*K286</f>
        <v>0</v>
      </c>
      <c r="N286" s="3"/>
      <c r="O286" s="2">
        <f>L286/J286*(1-K286)</f>
        <v>4000000</v>
      </c>
    </row>
    <row r="287" ht="14.25">
      <c r="A287" s="3" t="s">
        <v>235</v>
      </c>
      <c r="B287" s="3" t="s">
        <v>344</v>
      </c>
      <c r="C287" s="3" t="s">
        <v>345</v>
      </c>
      <c r="D287" s="3" t="s">
        <v>17</v>
      </c>
      <c r="E287" s="3" t="s">
        <v>346</v>
      </c>
      <c r="F287" s="3" t="s">
        <v>19</v>
      </c>
      <c r="G287" s="4">
        <v>0</v>
      </c>
      <c r="H287" s="4">
        <v>75300000</v>
      </c>
      <c r="I287" s="3" t="s">
        <v>105</v>
      </c>
      <c r="J287" s="4">
        <v>5</v>
      </c>
      <c r="K287" s="3" t="s">
        <v>21</v>
      </c>
      <c r="L287" s="4">
        <v>28000000</v>
      </c>
      <c r="M287" s="1">
        <f>O287*J287*K287</f>
        <v>0</v>
      </c>
      <c r="N287" s="3"/>
      <c r="O287" s="2">
        <f>L287/J287*(1-K287)</f>
        <v>5600000</v>
      </c>
    </row>
    <row r="288" ht="14.25">
      <c r="A288" s="3" t="s">
        <v>235</v>
      </c>
      <c r="B288" s="3" t="s">
        <v>344</v>
      </c>
      <c r="C288" s="3" t="s">
        <v>345</v>
      </c>
      <c r="D288" s="3" t="s">
        <v>17</v>
      </c>
      <c r="E288" s="3" t="s">
        <v>346</v>
      </c>
      <c r="F288" s="3" t="s">
        <v>19</v>
      </c>
      <c r="G288" s="4">
        <v>0</v>
      </c>
      <c r="H288" s="4">
        <v>75300000</v>
      </c>
      <c r="I288" s="3" t="s">
        <v>348</v>
      </c>
      <c r="J288" s="4">
        <v>2</v>
      </c>
      <c r="K288" s="3" t="s">
        <v>21</v>
      </c>
      <c r="L288" s="4">
        <v>12000000</v>
      </c>
      <c r="M288" s="1">
        <f>O288*J288*K288</f>
        <v>0</v>
      </c>
      <c r="N288" s="3"/>
      <c r="O288" s="2">
        <f>L288/J288*(1-K288)</f>
        <v>6000000</v>
      </c>
    </row>
    <row r="289" ht="14.25">
      <c r="A289" s="3" t="s">
        <v>235</v>
      </c>
      <c r="B289" s="3" t="s">
        <v>349</v>
      </c>
      <c r="C289" s="3" t="s">
        <v>350</v>
      </c>
      <c r="D289" s="3" t="s">
        <v>17</v>
      </c>
      <c r="E289" s="3" t="s">
        <v>351</v>
      </c>
      <c r="F289" s="3" t="s">
        <v>19</v>
      </c>
      <c r="G289" s="4">
        <v>0</v>
      </c>
      <c r="H289" s="4">
        <v>4360720</v>
      </c>
      <c r="I289" s="3" t="s">
        <v>54</v>
      </c>
      <c r="J289" s="4">
        <v>4</v>
      </c>
      <c r="K289" s="3" t="s">
        <v>21</v>
      </c>
      <c r="L289" s="4">
        <v>1650720</v>
      </c>
      <c r="M289" s="1">
        <f>O289*J289*K289</f>
        <v>0</v>
      </c>
      <c r="N289" s="3"/>
      <c r="O289" s="2">
        <f>L289/J289*(1-K289)</f>
        <v>412680</v>
      </c>
    </row>
    <row r="290" ht="14.25">
      <c r="A290" s="3" t="s">
        <v>235</v>
      </c>
      <c r="B290" s="3" t="s">
        <v>349</v>
      </c>
      <c r="C290" s="3" t="s">
        <v>350</v>
      </c>
      <c r="D290" s="3" t="s">
        <v>17</v>
      </c>
      <c r="E290" s="3" t="s">
        <v>351</v>
      </c>
      <c r="F290" s="3" t="s">
        <v>19</v>
      </c>
      <c r="G290" s="4">
        <v>0</v>
      </c>
      <c r="H290" s="4">
        <v>4360720</v>
      </c>
      <c r="I290" s="3" t="s">
        <v>352</v>
      </c>
      <c r="J290" s="4">
        <v>3</v>
      </c>
      <c r="K290" s="3" t="s">
        <v>21</v>
      </c>
      <c r="L290" s="4">
        <v>1350000</v>
      </c>
      <c r="M290" s="1">
        <f>O290*J290*K290</f>
        <v>0</v>
      </c>
      <c r="N290" s="3"/>
      <c r="O290" s="2">
        <f>L290/J290*(1-K290)</f>
        <v>450000</v>
      </c>
    </row>
    <row r="291" ht="14.25">
      <c r="A291" s="3" t="s">
        <v>235</v>
      </c>
      <c r="B291" s="3" t="s">
        <v>349</v>
      </c>
      <c r="C291" s="3" t="s">
        <v>350</v>
      </c>
      <c r="D291" s="3" t="s">
        <v>17</v>
      </c>
      <c r="E291" s="3" t="s">
        <v>351</v>
      </c>
      <c r="F291" s="3" t="s">
        <v>19</v>
      </c>
      <c r="G291" s="4">
        <v>0</v>
      </c>
      <c r="H291" s="4">
        <v>4360720</v>
      </c>
      <c r="I291" s="3" t="s">
        <v>328</v>
      </c>
      <c r="J291" s="4">
        <v>4</v>
      </c>
      <c r="K291" s="3" t="s">
        <v>353</v>
      </c>
      <c r="L291" s="4">
        <v>800000</v>
      </c>
      <c r="M291" s="1">
        <f>O291*J291*K291</f>
        <v>102000</v>
      </c>
      <c r="N291" s="3"/>
      <c r="O291" s="2">
        <f>L291/J291*(1-K291)</f>
        <v>170000</v>
      </c>
    </row>
    <row r="292" ht="14.25">
      <c r="A292" s="3" t="s">
        <v>235</v>
      </c>
      <c r="B292" s="3" t="s">
        <v>349</v>
      </c>
      <c r="C292" s="3" t="s">
        <v>350</v>
      </c>
      <c r="D292" s="3" t="s">
        <v>17</v>
      </c>
      <c r="E292" s="3" t="s">
        <v>351</v>
      </c>
      <c r="F292" s="3" t="s">
        <v>19</v>
      </c>
      <c r="G292" s="4">
        <v>0</v>
      </c>
      <c r="H292" s="4">
        <v>4360720</v>
      </c>
      <c r="I292" s="3" t="s">
        <v>325</v>
      </c>
      <c r="J292" s="4">
        <v>4</v>
      </c>
      <c r="K292" s="3" t="s">
        <v>353</v>
      </c>
      <c r="L292" s="4">
        <v>800000</v>
      </c>
      <c r="M292" s="1">
        <f>O292*J292*K292</f>
        <v>102000</v>
      </c>
      <c r="N292" s="3"/>
      <c r="O292" s="2">
        <f>L292/J292*(1-K292)</f>
        <v>170000</v>
      </c>
    </row>
    <row r="293" ht="14.25">
      <c r="A293" s="3" t="s">
        <v>235</v>
      </c>
      <c r="B293" s="3" t="s">
        <v>349</v>
      </c>
      <c r="C293" s="3" t="s">
        <v>354</v>
      </c>
      <c r="D293" s="3" t="s">
        <v>17</v>
      </c>
      <c r="E293" s="3" t="s">
        <v>351</v>
      </c>
      <c r="F293" s="3" t="s">
        <v>19</v>
      </c>
      <c r="G293" s="4">
        <v>0</v>
      </c>
      <c r="H293" s="4">
        <v>73742720</v>
      </c>
      <c r="I293" s="3" t="s">
        <v>105</v>
      </c>
      <c r="J293" s="4">
        <v>2</v>
      </c>
      <c r="K293" s="3" t="s">
        <v>21</v>
      </c>
      <c r="L293" s="4">
        <v>12000000</v>
      </c>
      <c r="M293" s="1">
        <f>O293*J293*K293</f>
        <v>0</v>
      </c>
      <c r="N293" s="3"/>
      <c r="O293" s="2">
        <f>L293/J293*(1-K293)</f>
        <v>6000000</v>
      </c>
    </row>
    <row r="294" ht="14.25">
      <c r="A294" s="3" t="s">
        <v>235</v>
      </c>
      <c r="B294" s="3" t="s">
        <v>349</v>
      </c>
      <c r="C294" s="3" t="s">
        <v>354</v>
      </c>
      <c r="D294" s="3" t="s">
        <v>17</v>
      </c>
      <c r="E294" s="3" t="s">
        <v>351</v>
      </c>
      <c r="F294" s="3" t="s">
        <v>19</v>
      </c>
      <c r="G294" s="4">
        <v>0</v>
      </c>
      <c r="H294" s="4">
        <v>73742720</v>
      </c>
      <c r="I294" s="3" t="s">
        <v>86</v>
      </c>
      <c r="J294" s="4">
        <v>6</v>
      </c>
      <c r="K294" s="3" t="s">
        <v>21</v>
      </c>
      <c r="L294" s="4">
        <v>31800000</v>
      </c>
      <c r="M294" s="1">
        <f>O294*J294*K294</f>
        <v>0</v>
      </c>
      <c r="N294" s="3"/>
      <c r="O294" s="2">
        <f>L294/J294*(1-K294)</f>
        <v>5300000</v>
      </c>
    </row>
    <row r="295" ht="14.25">
      <c r="A295" s="3" t="s">
        <v>235</v>
      </c>
      <c r="B295" s="3" t="s">
        <v>349</v>
      </c>
      <c r="C295" s="3" t="s">
        <v>354</v>
      </c>
      <c r="D295" s="3" t="s">
        <v>17</v>
      </c>
      <c r="E295" s="3" t="s">
        <v>351</v>
      </c>
      <c r="F295" s="3" t="s">
        <v>19</v>
      </c>
      <c r="G295" s="4">
        <v>0</v>
      </c>
      <c r="H295" s="4">
        <v>73742720</v>
      </c>
      <c r="I295" s="3" t="s">
        <v>121</v>
      </c>
      <c r="J295" s="4">
        <v>1</v>
      </c>
      <c r="K295" s="3" t="s">
        <v>21</v>
      </c>
      <c r="L295" s="4">
        <v>3600000</v>
      </c>
      <c r="M295" s="1">
        <f>O295*J295*K295</f>
        <v>0</v>
      </c>
      <c r="N295" s="3"/>
      <c r="O295" s="2">
        <f>L295/J295*(1-K295)</f>
        <v>3600000</v>
      </c>
    </row>
    <row r="296" ht="14.25">
      <c r="A296" s="3" t="s">
        <v>235</v>
      </c>
      <c r="B296" s="3" t="s">
        <v>349</v>
      </c>
      <c r="C296" s="3" t="s">
        <v>354</v>
      </c>
      <c r="D296" s="3" t="s">
        <v>17</v>
      </c>
      <c r="E296" s="3" t="s">
        <v>351</v>
      </c>
      <c r="F296" s="3" t="s">
        <v>19</v>
      </c>
      <c r="G296" s="4">
        <v>0</v>
      </c>
      <c r="H296" s="4">
        <v>73742720</v>
      </c>
      <c r="I296" s="3" t="s">
        <v>39</v>
      </c>
      <c r="J296" s="4">
        <v>1</v>
      </c>
      <c r="K296" s="3" t="s">
        <v>21</v>
      </c>
      <c r="L296" s="4">
        <v>3600000</v>
      </c>
      <c r="M296" s="1">
        <f>O296*J296*K296</f>
        <v>0</v>
      </c>
      <c r="N296" s="3"/>
      <c r="O296" s="2">
        <f>L296/J296*(1-K296)</f>
        <v>3600000</v>
      </c>
    </row>
    <row r="297" ht="14.25">
      <c r="A297" s="3" t="s">
        <v>235</v>
      </c>
      <c r="B297" s="3" t="s">
        <v>349</v>
      </c>
      <c r="C297" s="3" t="s">
        <v>354</v>
      </c>
      <c r="D297" s="3" t="s">
        <v>17</v>
      </c>
      <c r="E297" s="3" t="s">
        <v>351</v>
      </c>
      <c r="F297" s="3" t="s">
        <v>19</v>
      </c>
      <c r="G297" s="4">
        <v>0</v>
      </c>
      <c r="H297" s="4">
        <v>73742720</v>
      </c>
      <c r="I297" s="3" t="s">
        <v>35</v>
      </c>
      <c r="J297" s="4">
        <v>1</v>
      </c>
      <c r="K297" s="3" t="s">
        <v>21</v>
      </c>
      <c r="L297" s="4">
        <v>4000000</v>
      </c>
      <c r="M297" s="1">
        <f>O297*J297*K297</f>
        <v>0</v>
      </c>
      <c r="N297" s="3"/>
      <c r="O297" s="2">
        <f>L297/J297*(1-K297)</f>
        <v>4000000</v>
      </c>
    </row>
    <row r="298" ht="14.25">
      <c r="A298" s="3" t="s">
        <v>235</v>
      </c>
      <c r="B298" s="3" t="s">
        <v>349</v>
      </c>
      <c r="C298" s="3" t="s">
        <v>354</v>
      </c>
      <c r="D298" s="3" t="s">
        <v>17</v>
      </c>
      <c r="E298" s="3" t="s">
        <v>351</v>
      </c>
      <c r="F298" s="3" t="s">
        <v>19</v>
      </c>
      <c r="G298" s="4">
        <v>0</v>
      </c>
      <c r="H298" s="4">
        <v>73742720</v>
      </c>
      <c r="I298" s="3" t="s">
        <v>171</v>
      </c>
      <c r="J298" s="4">
        <v>1</v>
      </c>
      <c r="K298" s="3" t="s">
        <v>355</v>
      </c>
      <c r="L298" s="4">
        <v>5870000</v>
      </c>
      <c r="M298" s="1">
        <f>O298*J298*K298</f>
        <v>528300</v>
      </c>
      <c r="N298" s="3"/>
      <c r="O298" s="2">
        <f>L298/J298*(1-K298)</f>
        <v>5283000</v>
      </c>
    </row>
    <row r="299" ht="14.25">
      <c r="A299" s="3" t="s">
        <v>235</v>
      </c>
      <c r="B299" s="3" t="s">
        <v>349</v>
      </c>
      <c r="C299" s="3" t="s">
        <v>354</v>
      </c>
      <c r="D299" s="3" t="s">
        <v>17</v>
      </c>
      <c r="E299" s="3" t="s">
        <v>351</v>
      </c>
      <c r="F299" s="3" t="s">
        <v>19</v>
      </c>
      <c r="G299" s="4">
        <v>0</v>
      </c>
      <c r="H299" s="4">
        <v>73742720</v>
      </c>
      <c r="I299" s="3" t="s">
        <v>29</v>
      </c>
      <c r="J299" s="4">
        <v>4</v>
      </c>
      <c r="K299" s="3" t="s">
        <v>21</v>
      </c>
      <c r="L299" s="4">
        <v>1960000</v>
      </c>
      <c r="M299" s="1">
        <f>O299*J299*K299</f>
        <v>0</v>
      </c>
      <c r="N299" s="3"/>
      <c r="O299" s="2">
        <f>L299/J299*(1-K299)</f>
        <v>490000</v>
      </c>
    </row>
    <row r="300" ht="14.25">
      <c r="A300" s="3" t="s">
        <v>235</v>
      </c>
      <c r="B300" s="3" t="s">
        <v>349</v>
      </c>
      <c r="C300" s="3" t="s">
        <v>354</v>
      </c>
      <c r="D300" s="3" t="s">
        <v>17</v>
      </c>
      <c r="E300" s="3" t="s">
        <v>351</v>
      </c>
      <c r="F300" s="3" t="s">
        <v>19</v>
      </c>
      <c r="G300" s="4">
        <v>0</v>
      </c>
      <c r="H300" s="4">
        <v>73742720</v>
      </c>
      <c r="I300" s="3" t="s">
        <v>66</v>
      </c>
      <c r="J300" s="4">
        <v>6</v>
      </c>
      <c r="K300" s="3" t="s">
        <v>21</v>
      </c>
      <c r="L300" s="4">
        <v>2539920</v>
      </c>
      <c r="M300" s="1">
        <f>O300*J300*K300</f>
        <v>0</v>
      </c>
      <c r="N300" s="3"/>
      <c r="O300" s="2">
        <f>L300/J300*(1-K300)</f>
        <v>423320</v>
      </c>
    </row>
    <row r="301" ht="14.25">
      <c r="A301" s="3" t="s">
        <v>235</v>
      </c>
      <c r="B301" s="3" t="s">
        <v>349</v>
      </c>
      <c r="C301" s="3" t="s">
        <v>354</v>
      </c>
      <c r="D301" s="3" t="s">
        <v>17</v>
      </c>
      <c r="E301" s="3" t="s">
        <v>351</v>
      </c>
      <c r="F301" s="3" t="s">
        <v>19</v>
      </c>
      <c r="G301" s="4">
        <v>0</v>
      </c>
      <c r="H301" s="4">
        <v>73742720</v>
      </c>
      <c r="I301" s="3" t="s">
        <v>36</v>
      </c>
      <c r="J301" s="4">
        <v>12</v>
      </c>
      <c r="K301" s="3" t="s">
        <v>21</v>
      </c>
      <c r="L301" s="4">
        <v>2251500</v>
      </c>
      <c r="M301" s="1">
        <f>O301*J301*K301</f>
        <v>0</v>
      </c>
      <c r="N301" s="3"/>
      <c r="O301" s="2">
        <f>L301/J301*(1-K301)</f>
        <v>187625</v>
      </c>
    </row>
    <row r="302" ht="14.25">
      <c r="A302" s="3" t="s">
        <v>235</v>
      </c>
      <c r="B302" s="3" t="s">
        <v>349</v>
      </c>
      <c r="C302" s="3" t="s">
        <v>354</v>
      </c>
      <c r="D302" s="3" t="s">
        <v>17</v>
      </c>
      <c r="E302" s="3" t="s">
        <v>351</v>
      </c>
      <c r="F302" s="3" t="s">
        <v>19</v>
      </c>
      <c r="G302" s="4">
        <v>0</v>
      </c>
      <c r="H302" s="4">
        <v>73742720</v>
      </c>
      <c r="I302" s="3" t="s">
        <v>356</v>
      </c>
      <c r="J302" s="4">
        <v>8</v>
      </c>
      <c r="K302" s="3" t="s">
        <v>21</v>
      </c>
      <c r="L302" s="4">
        <v>1936200</v>
      </c>
      <c r="M302" s="1">
        <f>O302*J302*K302</f>
        <v>0</v>
      </c>
      <c r="N302" s="3"/>
      <c r="O302" s="2">
        <f>L302/J302*(1-K302)</f>
        <v>242025</v>
      </c>
    </row>
    <row r="303" ht="14.25">
      <c r="A303" s="3" t="s">
        <v>235</v>
      </c>
      <c r="B303" s="3" t="s">
        <v>349</v>
      </c>
      <c r="C303" s="3" t="s">
        <v>354</v>
      </c>
      <c r="D303" s="3" t="s">
        <v>17</v>
      </c>
      <c r="E303" s="3" t="s">
        <v>351</v>
      </c>
      <c r="F303" s="3" t="s">
        <v>19</v>
      </c>
      <c r="G303" s="4">
        <v>0</v>
      </c>
      <c r="H303" s="4">
        <v>73742720</v>
      </c>
      <c r="I303" s="3" t="s">
        <v>38</v>
      </c>
      <c r="J303" s="4">
        <v>6</v>
      </c>
      <c r="K303" s="3" t="s">
        <v>21</v>
      </c>
      <c r="L303" s="4">
        <v>965010</v>
      </c>
      <c r="M303" s="1">
        <f>O303*J303*K303</f>
        <v>0</v>
      </c>
      <c r="N303" s="3"/>
      <c r="O303" s="2">
        <f>L303/J303*(1-K303)</f>
        <v>160835</v>
      </c>
    </row>
    <row r="304" ht="14.25">
      <c r="A304" s="3" t="s">
        <v>235</v>
      </c>
      <c r="B304" s="3" t="s">
        <v>349</v>
      </c>
      <c r="C304" s="3" t="s">
        <v>354</v>
      </c>
      <c r="D304" s="3" t="s">
        <v>17</v>
      </c>
      <c r="E304" s="3" t="s">
        <v>351</v>
      </c>
      <c r="F304" s="3" t="s">
        <v>19</v>
      </c>
      <c r="G304" s="4">
        <v>0</v>
      </c>
      <c r="H304" s="4">
        <v>73742720</v>
      </c>
      <c r="I304" s="3" t="s">
        <v>125</v>
      </c>
      <c r="J304" s="4">
        <v>15</v>
      </c>
      <c r="K304" s="3" t="s">
        <v>21</v>
      </c>
      <c r="L304" s="4">
        <v>3807090</v>
      </c>
      <c r="M304" s="1">
        <f>O304*J304*K304</f>
        <v>0</v>
      </c>
      <c r="N304" s="3"/>
      <c r="O304" s="2">
        <f>L304/J304*(1-K304)</f>
        <v>253806</v>
      </c>
    </row>
    <row r="305" ht="14.25">
      <c r="A305" s="3" t="s">
        <v>235</v>
      </c>
      <c r="B305" s="3" t="s">
        <v>344</v>
      </c>
      <c r="C305" s="3" t="s">
        <v>357</v>
      </c>
      <c r="D305" s="3" t="s">
        <v>17</v>
      </c>
      <c r="E305" s="3" t="s">
        <v>252</v>
      </c>
      <c r="F305" s="3" t="s">
        <v>19</v>
      </c>
      <c r="G305" s="4">
        <v>0</v>
      </c>
      <c r="H305" s="4">
        <v>11300000</v>
      </c>
      <c r="I305" s="3" t="s">
        <v>358</v>
      </c>
      <c r="J305" s="4">
        <v>2</v>
      </c>
      <c r="K305" s="3" t="s">
        <v>21</v>
      </c>
      <c r="L305" s="4">
        <v>11300000</v>
      </c>
      <c r="M305" s="1">
        <f>O305*J305*K305</f>
        <v>0</v>
      </c>
      <c r="N305" s="3"/>
      <c r="O305" s="2">
        <f>L305/J305*(1-K305)</f>
        <v>5650000</v>
      </c>
    </row>
    <row r="306" ht="14.25">
      <c r="A306" s="3" t="s">
        <v>235</v>
      </c>
      <c r="B306" s="3" t="s">
        <v>344</v>
      </c>
      <c r="C306" s="3" t="s">
        <v>359</v>
      </c>
      <c r="D306" s="3" t="s">
        <v>17</v>
      </c>
      <c r="E306" s="3" t="s">
        <v>360</v>
      </c>
      <c r="F306" s="3" t="s">
        <v>19</v>
      </c>
      <c r="G306" s="4">
        <v>0</v>
      </c>
      <c r="H306" s="4">
        <v>6672000</v>
      </c>
      <c r="I306" s="3" t="s">
        <v>361</v>
      </c>
      <c r="J306" s="4">
        <v>12</v>
      </c>
      <c r="K306" s="3" t="s">
        <v>21</v>
      </c>
      <c r="L306" s="4">
        <v>552000</v>
      </c>
      <c r="M306" s="1">
        <f>O306*J306*K306</f>
        <v>0</v>
      </c>
      <c r="N306" s="3"/>
      <c r="O306" s="2">
        <f>L306/J306*(1-K306)</f>
        <v>46000</v>
      </c>
    </row>
    <row r="307" ht="14.25">
      <c r="A307" s="3" t="s">
        <v>235</v>
      </c>
      <c r="B307" s="3" t="s">
        <v>344</v>
      </c>
      <c r="C307" s="3" t="s">
        <v>359</v>
      </c>
      <c r="D307" s="3" t="s">
        <v>17</v>
      </c>
      <c r="E307" s="3" t="s">
        <v>360</v>
      </c>
      <c r="F307" s="3" t="s">
        <v>19</v>
      </c>
      <c r="G307" s="4">
        <v>0</v>
      </c>
      <c r="H307" s="4">
        <v>6672000</v>
      </c>
      <c r="I307" s="3" t="s">
        <v>108</v>
      </c>
      <c r="J307" s="4">
        <v>48</v>
      </c>
      <c r="K307" s="3" t="s">
        <v>21</v>
      </c>
      <c r="L307" s="4">
        <v>1104000</v>
      </c>
      <c r="M307" s="1">
        <f>O307*J307*K307</f>
        <v>0</v>
      </c>
      <c r="N307" s="3"/>
      <c r="O307" s="2">
        <f>L307/J307*(1-K307)</f>
        <v>23000</v>
      </c>
    </row>
    <row r="308" ht="14.25">
      <c r="A308" s="3" t="s">
        <v>235</v>
      </c>
      <c r="B308" s="3" t="s">
        <v>344</v>
      </c>
      <c r="C308" s="3" t="s">
        <v>359</v>
      </c>
      <c r="D308" s="3" t="s">
        <v>17</v>
      </c>
      <c r="E308" s="3" t="s">
        <v>360</v>
      </c>
      <c r="F308" s="3" t="s">
        <v>19</v>
      </c>
      <c r="G308" s="4">
        <v>0</v>
      </c>
      <c r="H308" s="4">
        <v>6672000</v>
      </c>
      <c r="I308" s="3" t="s">
        <v>164</v>
      </c>
      <c r="J308" s="4">
        <v>48</v>
      </c>
      <c r="K308" s="3" t="s">
        <v>21</v>
      </c>
      <c r="L308" s="4">
        <v>1056000</v>
      </c>
      <c r="M308" s="1">
        <f>O308*J308*K308</f>
        <v>0</v>
      </c>
      <c r="N308" s="3"/>
      <c r="O308" s="2">
        <f>L308/J308*(1-K308)</f>
        <v>22000</v>
      </c>
    </row>
    <row r="309" ht="14.25">
      <c r="A309" s="3" t="s">
        <v>235</v>
      </c>
      <c r="B309" s="3" t="s">
        <v>344</v>
      </c>
      <c r="C309" s="3" t="s">
        <v>359</v>
      </c>
      <c r="D309" s="3" t="s">
        <v>17</v>
      </c>
      <c r="E309" s="3" t="s">
        <v>360</v>
      </c>
      <c r="F309" s="3" t="s">
        <v>19</v>
      </c>
      <c r="G309" s="4">
        <v>0</v>
      </c>
      <c r="H309" s="4">
        <v>6672000</v>
      </c>
      <c r="I309" s="3" t="s">
        <v>165</v>
      </c>
      <c r="J309" s="4">
        <v>40</v>
      </c>
      <c r="K309" s="3" t="s">
        <v>21</v>
      </c>
      <c r="L309" s="4">
        <v>720000</v>
      </c>
      <c r="M309" s="1">
        <f>O309*J309*K309</f>
        <v>0</v>
      </c>
      <c r="N309" s="3"/>
      <c r="O309" s="2">
        <f>L309/J309*(1-K309)</f>
        <v>18000</v>
      </c>
    </row>
    <row r="310" ht="14.25">
      <c r="A310" s="3" t="s">
        <v>235</v>
      </c>
      <c r="B310" s="3" t="s">
        <v>344</v>
      </c>
      <c r="C310" s="3" t="s">
        <v>359</v>
      </c>
      <c r="D310" s="3" t="s">
        <v>17</v>
      </c>
      <c r="E310" s="3" t="s">
        <v>360</v>
      </c>
      <c r="F310" s="3" t="s">
        <v>19</v>
      </c>
      <c r="G310" s="4">
        <v>0</v>
      </c>
      <c r="H310" s="4">
        <v>6672000</v>
      </c>
      <c r="I310" s="3" t="s">
        <v>32</v>
      </c>
      <c r="J310" s="4">
        <v>144</v>
      </c>
      <c r="K310" s="3" t="s">
        <v>21</v>
      </c>
      <c r="L310" s="4">
        <v>3240000</v>
      </c>
      <c r="M310" s="1">
        <f>O310*J310*K310</f>
        <v>0</v>
      </c>
      <c r="N310" s="3"/>
      <c r="O310" s="2">
        <f>L310/J310*(1-K310)</f>
        <v>22500</v>
      </c>
    </row>
    <row r="311" ht="14.25">
      <c r="A311" s="3" t="s">
        <v>235</v>
      </c>
      <c r="B311" s="3" t="s">
        <v>344</v>
      </c>
      <c r="C311" s="3" t="s">
        <v>362</v>
      </c>
      <c r="D311" s="3" t="s">
        <v>17</v>
      </c>
      <c r="E311" s="3" t="s">
        <v>363</v>
      </c>
      <c r="F311" s="3" t="s">
        <v>19</v>
      </c>
      <c r="G311" s="4">
        <v>0</v>
      </c>
      <c r="H311" s="4">
        <v>7200000</v>
      </c>
      <c r="I311" s="3" t="s">
        <v>35</v>
      </c>
      <c r="J311" s="4">
        <v>2</v>
      </c>
      <c r="K311" s="3" t="s">
        <v>21</v>
      </c>
      <c r="L311" s="4">
        <v>7200000</v>
      </c>
      <c r="M311" s="1">
        <f>O311*J311*K311</f>
        <v>0</v>
      </c>
      <c r="N311" s="3"/>
      <c r="O311" s="2">
        <f>L311/J311*(1-K311)</f>
        <v>3600000</v>
      </c>
    </row>
    <row r="312" ht="14.25">
      <c r="A312" s="3" t="s">
        <v>235</v>
      </c>
      <c r="B312" s="3" t="s">
        <v>344</v>
      </c>
      <c r="C312" s="3" t="s">
        <v>364</v>
      </c>
      <c r="D312" s="3" t="s">
        <v>17</v>
      </c>
      <c r="E312" s="3" t="s">
        <v>289</v>
      </c>
      <c r="F312" s="3" t="s">
        <v>19</v>
      </c>
      <c r="G312" s="4">
        <v>0</v>
      </c>
      <c r="H312" s="4">
        <v>0</v>
      </c>
      <c r="I312" s="3" t="s">
        <v>290</v>
      </c>
      <c r="J312" s="4">
        <v>12</v>
      </c>
      <c r="K312" s="3" t="s">
        <v>21</v>
      </c>
      <c r="L312" s="4">
        <v>0</v>
      </c>
      <c r="M312" s="1">
        <f>O312*J312*K312</f>
        <v>0</v>
      </c>
      <c r="N312" s="3"/>
      <c r="O312" s="2">
        <f>L312/J312*(1-K312)</f>
        <v>0</v>
      </c>
    </row>
    <row r="313" ht="14.25">
      <c r="A313" s="3" t="s">
        <v>235</v>
      </c>
      <c r="B313" s="3" t="s">
        <v>344</v>
      </c>
      <c r="C313" s="3" t="s">
        <v>364</v>
      </c>
      <c r="D313" s="3" t="s">
        <v>17</v>
      </c>
      <c r="E313" s="3" t="s">
        <v>289</v>
      </c>
      <c r="F313" s="3" t="s">
        <v>19</v>
      </c>
      <c r="G313" s="4">
        <v>0</v>
      </c>
      <c r="H313" s="4">
        <v>0</v>
      </c>
      <c r="I313" s="3" t="s">
        <v>325</v>
      </c>
      <c r="J313" s="4">
        <v>9</v>
      </c>
      <c r="K313" s="3" t="s">
        <v>21</v>
      </c>
      <c r="L313" s="4">
        <v>0</v>
      </c>
      <c r="M313" s="1">
        <f>O313*J313*K313</f>
        <v>0</v>
      </c>
      <c r="N313" s="3"/>
      <c r="O313" s="2">
        <f>L313/J313*(1-K313)</f>
        <v>0</v>
      </c>
    </row>
    <row r="314" ht="14.25">
      <c r="A314" s="3" t="s">
        <v>235</v>
      </c>
      <c r="B314" s="3" t="s">
        <v>344</v>
      </c>
      <c r="C314" s="3" t="s">
        <v>364</v>
      </c>
      <c r="D314" s="3" t="s">
        <v>17</v>
      </c>
      <c r="E314" s="3" t="s">
        <v>289</v>
      </c>
      <c r="F314" s="3" t="s">
        <v>19</v>
      </c>
      <c r="G314" s="4">
        <v>0</v>
      </c>
      <c r="H314" s="4">
        <v>0</v>
      </c>
      <c r="I314" s="3" t="s">
        <v>365</v>
      </c>
      <c r="J314" s="4">
        <v>1</v>
      </c>
      <c r="K314" s="3" t="s">
        <v>21</v>
      </c>
      <c r="L314" s="4">
        <v>0</v>
      </c>
      <c r="M314" s="1">
        <f>O314*J314*K314</f>
        <v>0</v>
      </c>
      <c r="N314" s="3"/>
      <c r="O314" s="2">
        <f>L314/J314*(1-K314)</f>
        <v>0</v>
      </c>
    </row>
    <row r="315" ht="14.25">
      <c r="A315" s="3" t="s">
        <v>235</v>
      </c>
      <c r="B315" s="3" t="s">
        <v>344</v>
      </c>
      <c r="C315" s="3" t="s">
        <v>366</v>
      </c>
      <c r="D315" s="3" t="s">
        <v>17</v>
      </c>
      <c r="E315" s="3" t="s">
        <v>31</v>
      </c>
      <c r="F315" s="3" t="s">
        <v>19</v>
      </c>
      <c r="G315" s="4">
        <v>0</v>
      </c>
      <c r="H315" s="4">
        <v>1938852</v>
      </c>
      <c r="I315" s="3" t="s">
        <v>115</v>
      </c>
      <c r="J315" s="4">
        <v>6</v>
      </c>
      <c r="K315" s="3" t="s">
        <v>21</v>
      </c>
      <c r="L315" s="4">
        <v>198000</v>
      </c>
      <c r="M315" s="1">
        <f>O315*J315*K315</f>
        <v>0</v>
      </c>
      <c r="N315" s="3"/>
      <c r="O315" s="2">
        <f>L315/J315*(1-K315)</f>
        <v>33000</v>
      </c>
    </row>
    <row r="316" ht="14.25">
      <c r="A316" s="3" t="s">
        <v>235</v>
      </c>
      <c r="B316" s="3" t="s">
        <v>344</v>
      </c>
      <c r="C316" s="3" t="s">
        <v>366</v>
      </c>
      <c r="D316" s="3" t="s">
        <v>17</v>
      </c>
      <c r="E316" s="3" t="s">
        <v>31</v>
      </c>
      <c r="F316" s="3" t="s">
        <v>19</v>
      </c>
      <c r="G316" s="4">
        <v>0</v>
      </c>
      <c r="H316" s="4">
        <v>1938852</v>
      </c>
      <c r="I316" s="3" t="s">
        <v>367</v>
      </c>
      <c r="J316" s="4">
        <v>12</v>
      </c>
      <c r="K316" s="3" t="s">
        <v>21</v>
      </c>
      <c r="L316" s="4">
        <v>420000</v>
      </c>
      <c r="M316" s="1">
        <f>O316*J316*K316</f>
        <v>0</v>
      </c>
      <c r="N316" s="3"/>
      <c r="O316" s="2">
        <f>L316/J316*(1-K316)</f>
        <v>35000</v>
      </c>
    </row>
    <row r="317" ht="14.25">
      <c r="A317" s="3" t="s">
        <v>235</v>
      </c>
      <c r="B317" s="3" t="s">
        <v>344</v>
      </c>
      <c r="C317" s="3" t="s">
        <v>366</v>
      </c>
      <c r="D317" s="3" t="s">
        <v>17</v>
      </c>
      <c r="E317" s="3" t="s">
        <v>31</v>
      </c>
      <c r="F317" s="3" t="s">
        <v>19</v>
      </c>
      <c r="G317" s="4">
        <v>0</v>
      </c>
      <c r="H317" s="4">
        <v>1938852</v>
      </c>
      <c r="I317" s="3" t="s">
        <v>46</v>
      </c>
      <c r="J317" s="4">
        <v>12</v>
      </c>
      <c r="K317" s="3" t="s">
        <v>21</v>
      </c>
      <c r="L317" s="4">
        <v>366000</v>
      </c>
      <c r="M317" s="1">
        <f>O317*J317*K317</f>
        <v>0</v>
      </c>
      <c r="N317" s="3"/>
      <c r="O317" s="2">
        <f>L317/J317*(1-K317)</f>
        <v>30500</v>
      </c>
    </row>
    <row r="318" ht="14.25">
      <c r="A318" s="3" t="s">
        <v>235</v>
      </c>
      <c r="B318" s="3" t="s">
        <v>344</v>
      </c>
      <c r="C318" s="3" t="s">
        <v>366</v>
      </c>
      <c r="D318" s="3" t="s">
        <v>17</v>
      </c>
      <c r="E318" s="3" t="s">
        <v>31</v>
      </c>
      <c r="F318" s="3" t="s">
        <v>19</v>
      </c>
      <c r="G318" s="4">
        <v>0</v>
      </c>
      <c r="H318" s="4">
        <v>1938852</v>
      </c>
      <c r="I318" s="3" t="s">
        <v>38</v>
      </c>
      <c r="J318" s="4">
        <v>6</v>
      </c>
      <c r="K318" s="3" t="s">
        <v>21</v>
      </c>
      <c r="L318" s="4">
        <v>954852</v>
      </c>
      <c r="M318" s="1">
        <f>O318*J318*K318</f>
        <v>0</v>
      </c>
      <c r="N318" s="3"/>
      <c r="O318" s="2">
        <f>L318/J318*(1-K318)</f>
        <v>159142</v>
      </c>
    </row>
    <row r="319" ht="14.25">
      <c r="A319" s="3" t="s">
        <v>235</v>
      </c>
      <c r="B319" s="3" t="s">
        <v>344</v>
      </c>
      <c r="C319" s="3" t="s">
        <v>368</v>
      </c>
      <c r="D319" s="3" t="s">
        <v>17</v>
      </c>
      <c r="E319" s="3" t="s">
        <v>369</v>
      </c>
      <c r="F319" s="3" t="s">
        <v>19</v>
      </c>
      <c r="G319" s="4">
        <v>0</v>
      </c>
      <c r="H319" s="4">
        <v>175000</v>
      </c>
      <c r="I319" s="3" t="s">
        <v>95</v>
      </c>
      <c r="J319" s="4">
        <v>1</v>
      </c>
      <c r="K319" s="3" t="s">
        <v>21</v>
      </c>
      <c r="L319" s="4">
        <v>175000</v>
      </c>
      <c r="M319" s="1">
        <f>O319*J319*K319</f>
        <v>0</v>
      </c>
      <c r="N319" s="3"/>
      <c r="O319" s="2">
        <f>L319/J319*(1-K319)</f>
        <v>175000</v>
      </c>
    </row>
    <row r="320" ht="14.25">
      <c r="A320" s="3" t="s">
        <v>235</v>
      </c>
      <c r="B320" s="3" t="s">
        <v>349</v>
      </c>
      <c r="C320" s="3" t="s">
        <v>370</v>
      </c>
      <c r="D320" s="3" t="s">
        <v>17</v>
      </c>
      <c r="E320" s="3" t="s">
        <v>371</v>
      </c>
      <c r="F320" s="3" t="s">
        <v>19</v>
      </c>
      <c r="G320" s="4">
        <v>0</v>
      </c>
      <c r="H320" s="4">
        <v>16746000</v>
      </c>
      <c r="I320" s="3" t="s">
        <v>39</v>
      </c>
      <c r="J320" s="4">
        <v>2</v>
      </c>
      <c r="K320" s="3" t="s">
        <v>21</v>
      </c>
      <c r="L320" s="4">
        <v>7600000</v>
      </c>
      <c r="M320" s="1">
        <f>O320*J320*K320</f>
        <v>0</v>
      </c>
      <c r="N320" s="3"/>
      <c r="O320" s="2">
        <f>L320/J320*(1-K320)</f>
        <v>3800000</v>
      </c>
    </row>
    <row r="321" ht="14.25">
      <c r="A321" s="3" t="s">
        <v>235</v>
      </c>
      <c r="B321" s="3" t="s">
        <v>349</v>
      </c>
      <c r="C321" s="3" t="s">
        <v>370</v>
      </c>
      <c r="D321" s="3" t="s">
        <v>17</v>
      </c>
      <c r="E321" s="3" t="s">
        <v>371</v>
      </c>
      <c r="F321" s="3" t="s">
        <v>19</v>
      </c>
      <c r="G321" s="4">
        <v>0</v>
      </c>
      <c r="H321" s="4">
        <v>16746000</v>
      </c>
      <c r="I321" s="3" t="s">
        <v>66</v>
      </c>
      <c r="J321" s="4">
        <v>4</v>
      </c>
      <c r="K321" s="3" t="s">
        <v>21</v>
      </c>
      <c r="L321" s="4">
        <v>1720000</v>
      </c>
      <c r="M321" s="1">
        <f>O321*J321*K321</f>
        <v>0</v>
      </c>
      <c r="N321" s="3"/>
      <c r="O321" s="2">
        <f>L321/J321*(1-K321)</f>
        <v>430000</v>
      </c>
    </row>
    <row r="322" ht="14.25">
      <c r="A322" s="3" t="s">
        <v>235</v>
      </c>
      <c r="B322" s="3" t="s">
        <v>349</v>
      </c>
      <c r="C322" s="3" t="s">
        <v>370</v>
      </c>
      <c r="D322" s="3" t="s">
        <v>17</v>
      </c>
      <c r="E322" s="3" t="s">
        <v>371</v>
      </c>
      <c r="F322" s="3" t="s">
        <v>19</v>
      </c>
      <c r="G322" s="4">
        <v>0</v>
      </c>
      <c r="H322" s="4">
        <v>16746000</v>
      </c>
      <c r="I322" s="3" t="s">
        <v>67</v>
      </c>
      <c r="J322" s="4">
        <v>4</v>
      </c>
      <c r="K322" s="3" t="s">
        <v>21</v>
      </c>
      <c r="L322" s="4">
        <v>1508000</v>
      </c>
      <c r="M322" s="1">
        <f>O322*J322*K322</f>
        <v>0</v>
      </c>
      <c r="N322" s="3"/>
      <c r="O322" s="2">
        <f>L322/J322*(1-K322)</f>
        <v>377000</v>
      </c>
    </row>
    <row r="323" ht="14.25">
      <c r="A323" s="3" t="s">
        <v>235</v>
      </c>
      <c r="B323" s="3" t="s">
        <v>349</v>
      </c>
      <c r="C323" s="3" t="s">
        <v>370</v>
      </c>
      <c r="D323" s="3" t="s">
        <v>17</v>
      </c>
      <c r="E323" s="3" t="s">
        <v>371</v>
      </c>
      <c r="F323" s="3" t="s">
        <v>19</v>
      </c>
      <c r="G323" s="4">
        <v>0</v>
      </c>
      <c r="H323" s="4">
        <v>16746000</v>
      </c>
      <c r="I323" s="3" t="s">
        <v>127</v>
      </c>
      <c r="J323" s="4">
        <v>6</v>
      </c>
      <c r="K323" s="3" t="s">
        <v>21</v>
      </c>
      <c r="L323" s="4">
        <v>1050000</v>
      </c>
      <c r="M323" s="1">
        <f>O323*J323*K323</f>
        <v>0</v>
      </c>
      <c r="N323" s="3"/>
      <c r="O323" s="2">
        <f>L323/J323*(1-K323)</f>
        <v>175000</v>
      </c>
    </row>
    <row r="324" ht="14.25">
      <c r="A324" s="3" t="s">
        <v>235</v>
      </c>
      <c r="B324" s="3" t="s">
        <v>349</v>
      </c>
      <c r="C324" s="3" t="s">
        <v>370</v>
      </c>
      <c r="D324" s="3" t="s">
        <v>17</v>
      </c>
      <c r="E324" s="3" t="s">
        <v>371</v>
      </c>
      <c r="F324" s="3" t="s">
        <v>19</v>
      </c>
      <c r="G324" s="4">
        <v>0</v>
      </c>
      <c r="H324" s="4">
        <v>16746000</v>
      </c>
      <c r="I324" s="3" t="s">
        <v>36</v>
      </c>
      <c r="J324" s="4">
        <v>4</v>
      </c>
      <c r="K324" s="3" t="s">
        <v>21</v>
      </c>
      <c r="L324" s="4">
        <v>760000</v>
      </c>
      <c r="M324" s="1">
        <f>O324*J324*K324</f>
        <v>0</v>
      </c>
      <c r="N324" s="3"/>
      <c r="O324" s="2">
        <f>L324/J324*(1-K324)</f>
        <v>190000</v>
      </c>
    </row>
    <row r="325" ht="14.25">
      <c r="A325" s="3" t="s">
        <v>235</v>
      </c>
      <c r="B325" s="3" t="s">
        <v>349</v>
      </c>
      <c r="C325" s="3" t="s">
        <v>370</v>
      </c>
      <c r="D325" s="3" t="s">
        <v>17</v>
      </c>
      <c r="E325" s="3" t="s">
        <v>371</v>
      </c>
      <c r="F325" s="3" t="s">
        <v>19</v>
      </c>
      <c r="G325" s="4">
        <v>0</v>
      </c>
      <c r="H325" s="4">
        <v>16746000</v>
      </c>
      <c r="I325" s="3" t="s">
        <v>54</v>
      </c>
      <c r="J325" s="4">
        <v>2</v>
      </c>
      <c r="K325" s="3" t="s">
        <v>21</v>
      </c>
      <c r="L325" s="4">
        <v>840000</v>
      </c>
      <c r="M325" s="1">
        <f>O325*J325*K325</f>
        <v>0</v>
      </c>
      <c r="N325" s="3"/>
      <c r="O325" s="2">
        <f>L325/J325*(1-K325)</f>
        <v>420000</v>
      </c>
    </row>
    <row r="326" ht="14.25">
      <c r="A326" s="3" t="s">
        <v>235</v>
      </c>
      <c r="B326" s="3" t="s">
        <v>349</v>
      </c>
      <c r="C326" s="3" t="s">
        <v>370</v>
      </c>
      <c r="D326" s="3" t="s">
        <v>17</v>
      </c>
      <c r="E326" s="3" t="s">
        <v>371</v>
      </c>
      <c r="F326" s="3" t="s">
        <v>19</v>
      </c>
      <c r="G326" s="4">
        <v>0</v>
      </c>
      <c r="H326" s="4">
        <v>16746000</v>
      </c>
      <c r="I326" s="3" t="s">
        <v>185</v>
      </c>
      <c r="J326" s="4">
        <v>6</v>
      </c>
      <c r="K326" s="3" t="s">
        <v>21</v>
      </c>
      <c r="L326" s="4">
        <v>1128000</v>
      </c>
      <c r="M326" s="1">
        <f>O326*J326*K326</f>
        <v>0</v>
      </c>
      <c r="N326" s="3"/>
      <c r="O326" s="2">
        <f>L326/J326*(1-K326)</f>
        <v>188000</v>
      </c>
    </row>
    <row r="327" ht="14.25">
      <c r="A327" s="3" t="s">
        <v>235</v>
      </c>
      <c r="B327" s="3" t="s">
        <v>349</v>
      </c>
      <c r="C327" s="3" t="s">
        <v>370</v>
      </c>
      <c r="D327" s="3" t="s">
        <v>17</v>
      </c>
      <c r="E327" s="3" t="s">
        <v>371</v>
      </c>
      <c r="F327" s="3" t="s">
        <v>19</v>
      </c>
      <c r="G327" s="4">
        <v>0</v>
      </c>
      <c r="H327" s="4">
        <v>16746000</v>
      </c>
      <c r="I327" s="3" t="s">
        <v>372</v>
      </c>
      <c r="J327" s="4">
        <v>24</v>
      </c>
      <c r="K327" s="3" t="s">
        <v>21</v>
      </c>
      <c r="L327" s="4">
        <v>792000</v>
      </c>
      <c r="M327" s="1">
        <f>O327*J327*K327</f>
        <v>0</v>
      </c>
      <c r="N327" s="3"/>
      <c r="O327" s="2">
        <f>L327/J327*(1-K327)</f>
        <v>33000</v>
      </c>
    </row>
    <row r="328" ht="14.25">
      <c r="A328" s="3" t="s">
        <v>235</v>
      </c>
      <c r="B328" s="3" t="s">
        <v>349</v>
      </c>
      <c r="C328" s="3" t="s">
        <v>370</v>
      </c>
      <c r="D328" s="3" t="s">
        <v>17</v>
      </c>
      <c r="E328" s="3" t="s">
        <v>371</v>
      </c>
      <c r="F328" s="3" t="s">
        <v>19</v>
      </c>
      <c r="G328" s="4">
        <v>0</v>
      </c>
      <c r="H328" s="4">
        <v>16746000</v>
      </c>
      <c r="I328" s="3" t="s">
        <v>182</v>
      </c>
      <c r="J328" s="4">
        <v>4</v>
      </c>
      <c r="K328" s="3" t="s">
        <v>21</v>
      </c>
      <c r="L328" s="4">
        <v>1348000</v>
      </c>
      <c r="M328" s="1">
        <f>O328*J328*K328</f>
        <v>0</v>
      </c>
      <c r="N328" s="3"/>
      <c r="O328" s="2">
        <f>L328/J328*(1-K328)</f>
        <v>337000</v>
      </c>
    </row>
    <row r="329" ht="14.25">
      <c r="A329" s="3" t="s">
        <v>235</v>
      </c>
      <c r="B329" s="3" t="s">
        <v>349</v>
      </c>
      <c r="C329" s="3" t="s">
        <v>373</v>
      </c>
      <c r="D329" s="3" t="s">
        <v>17</v>
      </c>
      <c r="E329" s="3" t="s">
        <v>374</v>
      </c>
      <c r="F329" s="3" t="s">
        <v>19</v>
      </c>
      <c r="G329" s="4">
        <v>0</v>
      </c>
      <c r="H329" s="4">
        <v>11000000</v>
      </c>
      <c r="I329" s="3" t="s">
        <v>61</v>
      </c>
      <c r="J329" s="4">
        <v>2</v>
      </c>
      <c r="K329" s="3" t="s">
        <v>21</v>
      </c>
      <c r="L329" s="4">
        <v>11000000</v>
      </c>
      <c r="M329" s="1">
        <f>O329*J329*K329</f>
        <v>0</v>
      </c>
      <c r="N329" s="3"/>
      <c r="O329" s="2">
        <f>L329/J329*(1-K329)</f>
        <v>5500000</v>
      </c>
    </row>
    <row r="330" ht="14.25">
      <c r="A330" s="3" t="s">
        <v>235</v>
      </c>
      <c r="B330" s="3" t="s">
        <v>349</v>
      </c>
      <c r="C330" s="3" t="s">
        <v>375</v>
      </c>
      <c r="D330" s="3" t="s">
        <v>17</v>
      </c>
      <c r="E330" s="3" t="s">
        <v>376</v>
      </c>
      <c r="F330" s="3" t="s">
        <v>19</v>
      </c>
      <c r="G330" s="4">
        <v>0</v>
      </c>
      <c r="H330" s="4">
        <v>9648000</v>
      </c>
      <c r="I330" s="3" t="s">
        <v>377</v>
      </c>
      <c r="J330" s="4">
        <v>24</v>
      </c>
      <c r="K330" s="3" t="s">
        <v>21</v>
      </c>
      <c r="L330" s="4">
        <v>624000</v>
      </c>
      <c r="M330" s="1">
        <f>O330*J330*K330</f>
        <v>0</v>
      </c>
      <c r="N330" s="3"/>
      <c r="O330" s="2">
        <f>L330/J330*(1-K330)</f>
        <v>26000</v>
      </c>
    </row>
    <row r="331" ht="14.25">
      <c r="A331" s="3" t="s">
        <v>235</v>
      </c>
      <c r="B331" s="3" t="s">
        <v>349</v>
      </c>
      <c r="C331" s="3" t="s">
        <v>375</v>
      </c>
      <c r="D331" s="3" t="s">
        <v>17</v>
      </c>
      <c r="E331" s="3" t="s">
        <v>376</v>
      </c>
      <c r="F331" s="3" t="s">
        <v>19</v>
      </c>
      <c r="G331" s="4">
        <v>0</v>
      </c>
      <c r="H331" s="4">
        <v>9648000</v>
      </c>
      <c r="I331" s="3" t="s">
        <v>36</v>
      </c>
      <c r="J331" s="4">
        <v>4</v>
      </c>
      <c r="K331" s="3" t="s">
        <v>21</v>
      </c>
      <c r="L331" s="4">
        <v>760000</v>
      </c>
      <c r="M331" s="1">
        <f>O331*J331*K331</f>
        <v>0</v>
      </c>
      <c r="N331" s="3"/>
      <c r="O331" s="2">
        <f>L331/J331*(1-K331)</f>
        <v>190000</v>
      </c>
    </row>
    <row r="332" ht="14.25">
      <c r="A332" s="3" t="s">
        <v>235</v>
      </c>
      <c r="B332" s="3" t="s">
        <v>349</v>
      </c>
      <c r="C332" s="3" t="s">
        <v>375</v>
      </c>
      <c r="D332" s="3" t="s">
        <v>17</v>
      </c>
      <c r="E332" s="3" t="s">
        <v>376</v>
      </c>
      <c r="F332" s="3" t="s">
        <v>19</v>
      </c>
      <c r="G332" s="4">
        <v>0</v>
      </c>
      <c r="H332" s="4">
        <v>9648000</v>
      </c>
      <c r="I332" s="3" t="s">
        <v>378</v>
      </c>
      <c r="J332" s="4">
        <v>2</v>
      </c>
      <c r="K332" s="3" t="s">
        <v>21</v>
      </c>
      <c r="L332" s="4">
        <v>6400000</v>
      </c>
      <c r="M332" s="1">
        <f>O332*J332*K332</f>
        <v>0</v>
      </c>
      <c r="N332" s="3"/>
      <c r="O332" s="2">
        <f>L332/J332*(1-K332)</f>
        <v>3200000</v>
      </c>
    </row>
    <row r="333" ht="14.25">
      <c r="A333" s="3" t="s">
        <v>235</v>
      </c>
      <c r="B333" s="3" t="s">
        <v>349</v>
      </c>
      <c r="C333" s="3" t="s">
        <v>375</v>
      </c>
      <c r="D333" s="3" t="s">
        <v>17</v>
      </c>
      <c r="E333" s="3" t="s">
        <v>376</v>
      </c>
      <c r="F333" s="3" t="s">
        <v>19</v>
      </c>
      <c r="G333" s="4">
        <v>0</v>
      </c>
      <c r="H333" s="4">
        <v>9648000</v>
      </c>
      <c r="I333" s="3" t="s">
        <v>47</v>
      </c>
      <c r="J333" s="4">
        <v>24</v>
      </c>
      <c r="K333" s="3" t="s">
        <v>21</v>
      </c>
      <c r="L333" s="4">
        <v>864000</v>
      </c>
      <c r="M333" s="1">
        <f>O333*J333*K333</f>
        <v>0</v>
      </c>
      <c r="N333" s="3"/>
      <c r="O333" s="2">
        <f>L333/J333*(1-K333)</f>
        <v>36000</v>
      </c>
    </row>
    <row r="334" ht="14.25">
      <c r="A334" s="3" t="s">
        <v>235</v>
      </c>
      <c r="B334" s="3" t="s">
        <v>349</v>
      </c>
      <c r="C334" s="3" t="s">
        <v>375</v>
      </c>
      <c r="D334" s="3" t="s">
        <v>17</v>
      </c>
      <c r="E334" s="3" t="s">
        <v>376</v>
      </c>
      <c r="F334" s="3" t="s">
        <v>19</v>
      </c>
      <c r="G334" s="4">
        <v>0</v>
      </c>
      <c r="H334" s="4">
        <v>9648000</v>
      </c>
      <c r="I334" s="3" t="s">
        <v>126</v>
      </c>
      <c r="J334" s="4">
        <v>4</v>
      </c>
      <c r="K334" s="3" t="s">
        <v>21</v>
      </c>
      <c r="L334" s="4">
        <v>1000000</v>
      </c>
      <c r="M334" s="1">
        <f>O334*J334*K334</f>
        <v>0</v>
      </c>
      <c r="N334" s="3"/>
      <c r="O334" s="2">
        <f>L334/J334*(1-K334)</f>
        <v>250000</v>
      </c>
    </row>
    <row r="335" ht="14.25">
      <c r="A335" s="3" t="s">
        <v>235</v>
      </c>
      <c r="B335" s="3" t="s">
        <v>349</v>
      </c>
      <c r="C335" s="3" t="s">
        <v>379</v>
      </c>
      <c r="D335" s="3" t="s">
        <v>159</v>
      </c>
      <c r="E335" s="3" t="s">
        <v>53</v>
      </c>
      <c r="F335" s="3" t="s">
        <v>19</v>
      </c>
      <c r="G335" s="4">
        <v>3291000</v>
      </c>
      <c r="H335" s="4">
        <v>3291000</v>
      </c>
      <c r="I335" s="3" t="s">
        <v>45</v>
      </c>
      <c r="J335" s="4">
        <v>24</v>
      </c>
      <c r="K335" s="3" t="s">
        <v>21</v>
      </c>
      <c r="L335" s="4">
        <v>720000</v>
      </c>
      <c r="M335" s="1">
        <f>O335*J335*K335</f>
        <v>0</v>
      </c>
      <c r="N335" s="3"/>
      <c r="O335" s="2">
        <f>L335/J335*(1-K335)</f>
        <v>30000</v>
      </c>
    </row>
    <row r="336" ht="14.25">
      <c r="A336" s="3" t="s">
        <v>235</v>
      </c>
      <c r="B336" s="3" t="s">
        <v>349</v>
      </c>
      <c r="C336" s="3" t="s">
        <v>379</v>
      </c>
      <c r="D336" s="3" t="s">
        <v>159</v>
      </c>
      <c r="E336" s="3" t="s">
        <v>53</v>
      </c>
      <c r="F336" s="3" t="s">
        <v>19</v>
      </c>
      <c r="G336" s="4">
        <v>3291000</v>
      </c>
      <c r="H336" s="4">
        <v>3291000</v>
      </c>
      <c r="I336" s="3" t="s">
        <v>380</v>
      </c>
      <c r="J336" s="4">
        <v>24</v>
      </c>
      <c r="K336" s="3" t="s">
        <v>21</v>
      </c>
      <c r="L336" s="4">
        <v>720000</v>
      </c>
      <c r="M336" s="1">
        <f>O336*J336*K336</f>
        <v>0</v>
      </c>
      <c r="N336" s="3"/>
      <c r="O336" s="2">
        <f>L336/J336*(1-K336)</f>
        <v>30000</v>
      </c>
    </row>
    <row r="337" ht="14.25">
      <c r="A337" s="3" t="s">
        <v>235</v>
      </c>
      <c r="B337" s="3" t="s">
        <v>349</v>
      </c>
      <c r="C337" s="3" t="s">
        <v>379</v>
      </c>
      <c r="D337" s="3" t="s">
        <v>159</v>
      </c>
      <c r="E337" s="3" t="s">
        <v>53</v>
      </c>
      <c r="F337" s="3" t="s">
        <v>19</v>
      </c>
      <c r="G337" s="4">
        <v>3291000</v>
      </c>
      <c r="H337" s="4">
        <v>3291000</v>
      </c>
      <c r="I337" s="3" t="s">
        <v>37</v>
      </c>
      <c r="J337" s="4">
        <v>12</v>
      </c>
      <c r="K337" s="3" t="s">
        <v>21</v>
      </c>
      <c r="L337" s="4">
        <v>276000</v>
      </c>
      <c r="M337" s="1">
        <f>O337*J337*K337</f>
        <v>0</v>
      </c>
      <c r="N337" s="3"/>
      <c r="O337" s="2">
        <f>L337/J337*(1-K337)</f>
        <v>23000</v>
      </c>
    </row>
    <row r="338" ht="14.25">
      <c r="A338" s="3" t="s">
        <v>235</v>
      </c>
      <c r="B338" s="3" t="s">
        <v>349</v>
      </c>
      <c r="C338" s="3" t="s">
        <v>379</v>
      </c>
      <c r="D338" s="3" t="s">
        <v>159</v>
      </c>
      <c r="E338" s="3" t="s">
        <v>53</v>
      </c>
      <c r="F338" s="3" t="s">
        <v>19</v>
      </c>
      <c r="G338" s="4">
        <v>3291000</v>
      </c>
      <c r="H338" s="4">
        <v>3291000</v>
      </c>
      <c r="I338" s="3" t="s">
        <v>381</v>
      </c>
      <c r="J338" s="4">
        <v>20</v>
      </c>
      <c r="K338" s="3" t="s">
        <v>21</v>
      </c>
      <c r="L338" s="4">
        <v>630000</v>
      </c>
      <c r="M338" s="1">
        <f>O338*J338*K338</f>
        <v>0</v>
      </c>
      <c r="N338" s="3"/>
      <c r="O338" s="2">
        <f>L338/J338*(1-K338)</f>
        <v>31500</v>
      </c>
    </row>
    <row r="339" ht="14.25">
      <c r="A339" s="3" t="s">
        <v>235</v>
      </c>
      <c r="B339" s="3" t="s">
        <v>349</v>
      </c>
      <c r="C339" s="3" t="s">
        <v>379</v>
      </c>
      <c r="D339" s="3" t="s">
        <v>159</v>
      </c>
      <c r="E339" s="3" t="s">
        <v>53</v>
      </c>
      <c r="F339" s="3" t="s">
        <v>19</v>
      </c>
      <c r="G339" s="4">
        <v>3291000</v>
      </c>
      <c r="H339" s="4">
        <v>3291000</v>
      </c>
      <c r="I339" s="3" t="s">
        <v>382</v>
      </c>
      <c r="J339" s="4">
        <v>1</v>
      </c>
      <c r="K339" s="3" t="s">
        <v>21</v>
      </c>
      <c r="L339" s="4">
        <v>225000</v>
      </c>
      <c r="M339" s="1">
        <f>O339*J339*K339</f>
        <v>0</v>
      </c>
      <c r="N339" s="3"/>
      <c r="O339" s="2">
        <f>L339/J339*(1-K339)</f>
        <v>225000</v>
      </c>
    </row>
    <row r="340" ht="14.25">
      <c r="A340" s="3" t="s">
        <v>235</v>
      </c>
      <c r="B340" s="3" t="s">
        <v>349</v>
      </c>
      <c r="C340" s="3" t="s">
        <v>379</v>
      </c>
      <c r="D340" s="3" t="s">
        <v>159</v>
      </c>
      <c r="E340" s="3" t="s">
        <v>53</v>
      </c>
      <c r="F340" s="3" t="s">
        <v>19</v>
      </c>
      <c r="G340" s="4">
        <v>3291000</v>
      </c>
      <c r="H340" s="4">
        <v>3291000</v>
      </c>
      <c r="I340" s="3" t="s">
        <v>383</v>
      </c>
      <c r="J340" s="4">
        <v>4</v>
      </c>
      <c r="K340" s="3" t="s">
        <v>21</v>
      </c>
      <c r="L340" s="4">
        <v>720000</v>
      </c>
      <c r="M340" s="1">
        <f>O340*J340*K340</f>
        <v>0</v>
      </c>
      <c r="N340" s="3"/>
      <c r="O340" s="2">
        <f>L340/J340*(1-K340)</f>
        <v>180000</v>
      </c>
    </row>
    <row r="341" ht="14.25">
      <c r="A341" s="3" t="s">
        <v>257</v>
      </c>
      <c r="B341" s="3" t="s">
        <v>384</v>
      </c>
      <c r="C341" s="3" t="s">
        <v>385</v>
      </c>
      <c r="D341" s="3" t="s">
        <v>17</v>
      </c>
      <c r="E341" s="3" t="s">
        <v>99</v>
      </c>
      <c r="F341" s="3" t="s">
        <v>19</v>
      </c>
      <c r="G341" s="4">
        <v>0</v>
      </c>
      <c r="H341" s="4">
        <v>28350000</v>
      </c>
      <c r="I341" s="3" t="s">
        <v>325</v>
      </c>
      <c r="J341" s="4">
        <v>80</v>
      </c>
      <c r="K341" s="3" t="s">
        <v>355</v>
      </c>
      <c r="L341" s="4">
        <v>16000000</v>
      </c>
      <c r="M341" s="1">
        <f>O341*J341*K341</f>
        <v>1440000</v>
      </c>
      <c r="N341" s="3"/>
      <c r="O341" s="2">
        <f>L341/J341*(1-K341)</f>
        <v>180000</v>
      </c>
    </row>
    <row r="342" ht="14.25">
      <c r="A342" s="3" t="s">
        <v>257</v>
      </c>
      <c r="B342" s="3" t="s">
        <v>384</v>
      </c>
      <c r="C342" s="3" t="s">
        <v>385</v>
      </c>
      <c r="D342" s="3" t="s">
        <v>17</v>
      </c>
      <c r="E342" s="3" t="s">
        <v>99</v>
      </c>
      <c r="F342" s="3" t="s">
        <v>19</v>
      </c>
      <c r="G342" s="4">
        <v>0</v>
      </c>
      <c r="H342" s="4">
        <v>28350000</v>
      </c>
      <c r="I342" s="3" t="s">
        <v>283</v>
      </c>
      <c r="J342" s="4">
        <v>10</v>
      </c>
      <c r="K342" s="3" t="s">
        <v>21</v>
      </c>
      <c r="L342" s="4">
        <v>13950000</v>
      </c>
      <c r="M342" s="1">
        <f>O342*J342*K342</f>
        <v>0</v>
      </c>
      <c r="N342" s="3"/>
      <c r="O342" s="2">
        <f>L342/J342*(1-K342)</f>
        <v>1395000</v>
      </c>
    </row>
    <row r="343" ht="14.25">
      <c r="A343" s="3" t="s">
        <v>257</v>
      </c>
      <c r="B343" s="3" t="s">
        <v>386</v>
      </c>
      <c r="C343" s="3" t="s">
        <v>387</v>
      </c>
      <c r="D343" s="3" t="s">
        <v>17</v>
      </c>
      <c r="E343" s="3" t="s">
        <v>168</v>
      </c>
      <c r="F343" s="3" t="s">
        <v>19</v>
      </c>
      <c r="G343" s="4">
        <v>0</v>
      </c>
      <c r="H343" s="4">
        <v>4067400</v>
      </c>
      <c r="I343" s="3" t="s">
        <v>250</v>
      </c>
      <c r="J343" s="4">
        <v>4</v>
      </c>
      <c r="K343" s="3" t="s">
        <v>21</v>
      </c>
      <c r="L343" s="4">
        <v>700000</v>
      </c>
      <c r="M343" s="1">
        <f>O343*J343*K343</f>
        <v>0</v>
      </c>
      <c r="N343" s="3"/>
      <c r="O343" s="2">
        <f>L343/J343*(1-K343)</f>
        <v>175000</v>
      </c>
    </row>
    <row r="344" ht="14.25">
      <c r="A344" s="3" t="s">
        <v>257</v>
      </c>
      <c r="B344" s="3" t="s">
        <v>386</v>
      </c>
      <c r="C344" s="3" t="s">
        <v>387</v>
      </c>
      <c r="D344" s="3" t="s">
        <v>17</v>
      </c>
      <c r="E344" s="3" t="s">
        <v>168</v>
      </c>
      <c r="F344" s="3" t="s">
        <v>19</v>
      </c>
      <c r="G344" s="4">
        <v>0</v>
      </c>
      <c r="H344" s="4">
        <v>4067400</v>
      </c>
      <c r="I344" s="3" t="s">
        <v>383</v>
      </c>
      <c r="J344" s="4">
        <v>4</v>
      </c>
      <c r="K344" s="3" t="s">
        <v>21</v>
      </c>
      <c r="L344" s="4">
        <v>720000</v>
      </c>
      <c r="M344" s="1">
        <f>O344*J344*K344</f>
        <v>0</v>
      </c>
      <c r="N344" s="3"/>
      <c r="O344" s="2">
        <f>L344/J344*(1-K344)</f>
        <v>180000</v>
      </c>
    </row>
    <row r="345" ht="14.25">
      <c r="A345" s="3" t="s">
        <v>257</v>
      </c>
      <c r="B345" s="3" t="s">
        <v>386</v>
      </c>
      <c r="C345" s="3" t="s">
        <v>387</v>
      </c>
      <c r="D345" s="3" t="s">
        <v>17</v>
      </c>
      <c r="E345" s="3" t="s">
        <v>168</v>
      </c>
      <c r="F345" s="3" t="s">
        <v>19</v>
      </c>
      <c r="G345" s="4">
        <v>0</v>
      </c>
      <c r="H345" s="4">
        <v>4067400</v>
      </c>
      <c r="I345" s="3" t="s">
        <v>68</v>
      </c>
      <c r="J345" s="4">
        <v>40</v>
      </c>
      <c r="K345" s="3" t="s">
        <v>21</v>
      </c>
      <c r="L345" s="4">
        <v>1670400</v>
      </c>
      <c r="M345" s="1">
        <f>O345*J345*K345</f>
        <v>0</v>
      </c>
      <c r="N345" s="3"/>
      <c r="O345" s="2">
        <f>L345/J345*(1-K345)</f>
        <v>41760</v>
      </c>
    </row>
    <row r="346" ht="14.25">
      <c r="A346" s="3" t="s">
        <v>257</v>
      </c>
      <c r="B346" s="3" t="s">
        <v>386</v>
      </c>
      <c r="C346" s="3" t="s">
        <v>387</v>
      </c>
      <c r="D346" s="3" t="s">
        <v>17</v>
      </c>
      <c r="E346" s="3" t="s">
        <v>168</v>
      </c>
      <c r="F346" s="3" t="s">
        <v>19</v>
      </c>
      <c r="G346" s="4">
        <v>0</v>
      </c>
      <c r="H346" s="4">
        <v>4067400</v>
      </c>
      <c r="I346" s="3" t="s">
        <v>37</v>
      </c>
      <c r="J346" s="4">
        <v>24</v>
      </c>
      <c r="K346" s="3" t="s">
        <v>21</v>
      </c>
      <c r="L346" s="4">
        <v>552000</v>
      </c>
      <c r="M346" s="1">
        <f>O346*J346*K346</f>
        <v>0</v>
      </c>
      <c r="N346" s="3"/>
      <c r="O346" s="2">
        <f>L346/J346*(1-K346)</f>
        <v>23000</v>
      </c>
    </row>
    <row r="347" ht="14.25">
      <c r="A347" s="3" t="s">
        <v>257</v>
      </c>
      <c r="B347" s="3" t="s">
        <v>386</v>
      </c>
      <c r="C347" s="3" t="s">
        <v>387</v>
      </c>
      <c r="D347" s="3" t="s">
        <v>17</v>
      </c>
      <c r="E347" s="3" t="s">
        <v>168</v>
      </c>
      <c r="F347" s="3" t="s">
        <v>19</v>
      </c>
      <c r="G347" s="4">
        <v>0</v>
      </c>
      <c r="H347" s="4">
        <v>4067400</v>
      </c>
      <c r="I347" s="3" t="s">
        <v>90</v>
      </c>
      <c r="J347" s="4">
        <v>1</v>
      </c>
      <c r="K347" s="3" t="s">
        <v>21</v>
      </c>
      <c r="L347" s="4">
        <v>425000</v>
      </c>
      <c r="M347" s="1">
        <f>O347*J347*K347</f>
        <v>0</v>
      </c>
      <c r="N347" s="3"/>
      <c r="O347" s="2">
        <f>L347/J347*(1-K347)</f>
        <v>425000</v>
      </c>
    </row>
    <row r="348" ht="14.25">
      <c r="A348" s="3" t="s">
        <v>257</v>
      </c>
      <c r="B348" s="3" t="s">
        <v>386</v>
      </c>
      <c r="C348" s="3" t="s">
        <v>388</v>
      </c>
      <c r="D348" s="3" t="s">
        <v>17</v>
      </c>
      <c r="E348" s="3" t="s">
        <v>389</v>
      </c>
      <c r="F348" s="3" t="s">
        <v>19</v>
      </c>
      <c r="G348" s="4">
        <v>0</v>
      </c>
      <c r="H348" s="4">
        <v>30167072</v>
      </c>
      <c r="I348" s="3" t="s">
        <v>66</v>
      </c>
      <c r="J348" s="4">
        <v>12</v>
      </c>
      <c r="K348" s="3" t="s">
        <v>21</v>
      </c>
      <c r="L348" s="4">
        <v>5133312</v>
      </c>
      <c r="M348" s="1">
        <f>O348*J348*K348</f>
        <v>0</v>
      </c>
      <c r="N348" s="3"/>
      <c r="O348" s="2">
        <f>L348/J348*(1-K348)</f>
        <v>427776</v>
      </c>
    </row>
    <row r="349" ht="14.25">
      <c r="A349" s="3" t="s">
        <v>257</v>
      </c>
      <c r="B349" s="3" t="s">
        <v>386</v>
      </c>
      <c r="C349" s="3" t="s">
        <v>388</v>
      </c>
      <c r="D349" s="3" t="s">
        <v>17</v>
      </c>
      <c r="E349" s="3" t="s">
        <v>389</v>
      </c>
      <c r="F349" s="3" t="s">
        <v>19</v>
      </c>
      <c r="G349" s="4">
        <v>0</v>
      </c>
      <c r="H349" s="4">
        <v>30167072</v>
      </c>
      <c r="I349" s="3" t="s">
        <v>67</v>
      </c>
      <c r="J349" s="4">
        <v>12</v>
      </c>
      <c r="K349" s="3" t="s">
        <v>21</v>
      </c>
      <c r="L349" s="4">
        <v>4475520</v>
      </c>
      <c r="M349" s="1">
        <f>O349*J349*K349</f>
        <v>0</v>
      </c>
      <c r="N349" s="3"/>
      <c r="O349" s="2">
        <f>L349/J349*(1-K349)</f>
        <v>372960</v>
      </c>
    </row>
    <row r="350" ht="14.25">
      <c r="A350" s="3" t="s">
        <v>257</v>
      </c>
      <c r="B350" s="3" t="s">
        <v>386</v>
      </c>
      <c r="C350" s="3" t="s">
        <v>388</v>
      </c>
      <c r="D350" s="3" t="s">
        <v>17</v>
      </c>
      <c r="E350" s="3" t="s">
        <v>389</v>
      </c>
      <c r="F350" s="3" t="s">
        <v>19</v>
      </c>
      <c r="G350" s="4">
        <v>0</v>
      </c>
      <c r="H350" s="4">
        <v>30167072</v>
      </c>
      <c r="I350" s="3" t="s">
        <v>54</v>
      </c>
      <c r="J350" s="4">
        <v>10</v>
      </c>
      <c r="K350" s="3" t="s">
        <v>21</v>
      </c>
      <c r="L350" s="4">
        <v>4170240</v>
      </c>
      <c r="M350" s="1">
        <f>O350*J350*K350</f>
        <v>0</v>
      </c>
      <c r="N350" s="3"/>
      <c r="O350" s="2">
        <f>L350/J350*(1-K350)</f>
        <v>417024</v>
      </c>
    </row>
    <row r="351" ht="14.25">
      <c r="A351" s="3" t="s">
        <v>257</v>
      </c>
      <c r="B351" s="3" t="s">
        <v>386</v>
      </c>
      <c r="C351" s="3" t="s">
        <v>388</v>
      </c>
      <c r="D351" s="3" t="s">
        <v>17</v>
      </c>
      <c r="E351" s="3" t="s">
        <v>389</v>
      </c>
      <c r="F351" s="3" t="s">
        <v>19</v>
      </c>
      <c r="G351" s="4">
        <v>0</v>
      </c>
      <c r="H351" s="4">
        <v>30167072</v>
      </c>
      <c r="I351" s="3" t="s">
        <v>86</v>
      </c>
      <c r="J351" s="4">
        <v>1</v>
      </c>
      <c r="K351" s="3" t="s">
        <v>21</v>
      </c>
      <c r="L351" s="4">
        <v>5300000</v>
      </c>
      <c r="M351" s="1">
        <f>O351*J351*K351</f>
        <v>0</v>
      </c>
      <c r="N351" s="3"/>
      <c r="O351" s="2">
        <f>L351/J351*(1-K351)</f>
        <v>5300000</v>
      </c>
    </row>
    <row r="352" ht="14.25">
      <c r="A352" s="3" t="s">
        <v>257</v>
      </c>
      <c r="B352" s="3" t="s">
        <v>386</v>
      </c>
      <c r="C352" s="3" t="s">
        <v>388</v>
      </c>
      <c r="D352" s="3" t="s">
        <v>17</v>
      </c>
      <c r="E352" s="3" t="s">
        <v>389</v>
      </c>
      <c r="F352" s="3" t="s">
        <v>19</v>
      </c>
      <c r="G352" s="4">
        <v>0</v>
      </c>
      <c r="H352" s="4">
        <v>30167072</v>
      </c>
      <c r="I352" s="3" t="s">
        <v>144</v>
      </c>
      <c r="J352" s="4">
        <v>168</v>
      </c>
      <c r="K352" s="3" t="s">
        <v>21</v>
      </c>
      <c r="L352" s="4">
        <v>11088000</v>
      </c>
      <c r="M352" s="1">
        <f>O352*J352*K352</f>
        <v>0</v>
      </c>
      <c r="N352" s="3"/>
      <c r="O352" s="2">
        <f>L352/J352*(1-K352)</f>
        <v>66000</v>
      </c>
    </row>
    <row r="353" ht="14.25">
      <c r="A353" s="3" t="s">
        <v>257</v>
      </c>
      <c r="B353" s="3" t="s">
        <v>273</v>
      </c>
      <c r="C353" s="3" t="s">
        <v>390</v>
      </c>
      <c r="D353" s="3" t="s">
        <v>17</v>
      </c>
      <c r="E353" s="3" t="s">
        <v>23</v>
      </c>
      <c r="F353" s="3" t="s">
        <v>19</v>
      </c>
      <c r="G353" s="4">
        <v>0</v>
      </c>
      <c r="H353" s="4">
        <v>4100000</v>
      </c>
      <c r="I353" s="3" t="s">
        <v>102</v>
      </c>
      <c r="J353" s="4">
        <v>2</v>
      </c>
      <c r="K353" s="3" t="s">
        <v>21</v>
      </c>
      <c r="L353" s="4">
        <v>4100000</v>
      </c>
      <c r="M353" s="1">
        <f>O353*J353*K353</f>
        <v>0</v>
      </c>
      <c r="N353" s="3"/>
      <c r="O353" s="2">
        <f>L353/J353*(1-K353)</f>
        <v>2050000</v>
      </c>
    </row>
    <row r="354" ht="14.25">
      <c r="A354" s="3" t="s">
        <v>273</v>
      </c>
      <c r="B354" s="3" t="s">
        <v>391</v>
      </c>
      <c r="C354" s="3" t="s">
        <v>392</v>
      </c>
      <c r="D354" s="3" t="s">
        <v>17</v>
      </c>
      <c r="E354" s="3" t="s">
        <v>34</v>
      </c>
      <c r="F354" s="3" t="s">
        <v>19</v>
      </c>
      <c r="G354" s="4">
        <v>0</v>
      </c>
      <c r="H354" s="4">
        <v>26256000</v>
      </c>
      <c r="I354" s="3" t="s">
        <v>35</v>
      </c>
      <c r="J354" s="4">
        <v>1</v>
      </c>
      <c r="K354" s="3" t="s">
        <v>21</v>
      </c>
      <c r="L354" s="4">
        <v>3550000</v>
      </c>
      <c r="M354" s="1">
        <f>O354*J354*K354</f>
        <v>0</v>
      </c>
      <c r="N354" s="3"/>
      <c r="O354" s="2">
        <f>L354/J354*(1-K354)</f>
        <v>3550000</v>
      </c>
    </row>
    <row r="355" ht="14.25">
      <c r="A355" s="3" t="s">
        <v>273</v>
      </c>
      <c r="B355" s="3" t="s">
        <v>391</v>
      </c>
      <c r="C355" s="3" t="s">
        <v>392</v>
      </c>
      <c r="D355" s="3" t="s">
        <v>17</v>
      </c>
      <c r="E355" s="3" t="s">
        <v>34</v>
      </c>
      <c r="F355" s="3" t="s">
        <v>19</v>
      </c>
      <c r="G355" s="4">
        <v>0</v>
      </c>
      <c r="H355" s="4">
        <v>26256000</v>
      </c>
      <c r="I355" s="3" t="s">
        <v>82</v>
      </c>
      <c r="J355" s="4">
        <v>1</v>
      </c>
      <c r="K355" s="3" t="s">
        <v>21</v>
      </c>
      <c r="L355" s="4">
        <v>3550000</v>
      </c>
      <c r="M355" s="1">
        <f>O355*J355*K355</f>
        <v>0</v>
      </c>
      <c r="N355" s="3"/>
      <c r="O355" s="2">
        <f>L355/J355*(1-K355)</f>
        <v>3550000</v>
      </c>
    </row>
    <row r="356" ht="14.25">
      <c r="A356" s="3" t="s">
        <v>273</v>
      </c>
      <c r="B356" s="3" t="s">
        <v>391</v>
      </c>
      <c r="C356" s="3" t="s">
        <v>392</v>
      </c>
      <c r="D356" s="3" t="s">
        <v>17</v>
      </c>
      <c r="E356" s="3" t="s">
        <v>34</v>
      </c>
      <c r="F356" s="3" t="s">
        <v>19</v>
      </c>
      <c r="G356" s="4">
        <v>0</v>
      </c>
      <c r="H356" s="4">
        <v>26256000</v>
      </c>
      <c r="I356" s="3" t="s">
        <v>39</v>
      </c>
      <c r="J356" s="4">
        <v>3</v>
      </c>
      <c r="K356" s="3" t="s">
        <v>21</v>
      </c>
      <c r="L356" s="4">
        <v>9600000</v>
      </c>
      <c r="M356" s="1">
        <f>O356*J356*K356</f>
        <v>0</v>
      </c>
      <c r="N356" s="3"/>
      <c r="O356" s="2">
        <f>L356/J356*(1-K356)</f>
        <v>3200000</v>
      </c>
    </row>
    <row r="357" ht="14.25">
      <c r="A357" s="3" t="s">
        <v>273</v>
      </c>
      <c r="B357" s="3" t="s">
        <v>391</v>
      </c>
      <c r="C357" s="3" t="s">
        <v>392</v>
      </c>
      <c r="D357" s="3" t="s">
        <v>17</v>
      </c>
      <c r="E357" s="3" t="s">
        <v>34</v>
      </c>
      <c r="F357" s="3" t="s">
        <v>19</v>
      </c>
      <c r="G357" s="4">
        <v>0</v>
      </c>
      <c r="H357" s="4">
        <v>26256000</v>
      </c>
      <c r="I357" s="3" t="s">
        <v>121</v>
      </c>
      <c r="J357" s="4">
        <v>1</v>
      </c>
      <c r="K357" s="3" t="s">
        <v>21</v>
      </c>
      <c r="L357" s="4">
        <v>3200000</v>
      </c>
      <c r="M357" s="1">
        <f>O357*J357*K357</f>
        <v>0</v>
      </c>
      <c r="N357" s="3"/>
      <c r="O357" s="2">
        <f>L357/J357*(1-K357)</f>
        <v>3200000</v>
      </c>
    </row>
    <row r="358" ht="14.25">
      <c r="A358" s="3" t="s">
        <v>273</v>
      </c>
      <c r="B358" s="3" t="s">
        <v>391</v>
      </c>
      <c r="C358" s="3" t="s">
        <v>392</v>
      </c>
      <c r="D358" s="3" t="s">
        <v>17</v>
      </c>
      <c r="E358" s="3" t="s">
        <v>34</v>
      </c>
      <c r="F358" s="3" t="s">
        <v>19</v>
      </c>
      <c r="G358" s="4">
        <v>0</v>
      </c>
      <c r="H358" s="4">
        <v>26256000</v>
      </c>
      <c r="I358" s="3" t="s">
        <v>393</v>
      </c>
      <c r="J358" s="4">
        <v>4</v>
      </c>
      <c r="K358" s="3" t="s">
        <v>21</v>
      </c>
      <c r="L358" s="4">
        <v>1000000</v>
      </c>
      <c r="M358" s="1">
        <f>O358*J358*K358</f>
        <v>0</v>
      </c>
      <c r="N358" s="3"/>
      <c r="O358" s="2">
        <f>L358/J358*(1-K358)</f>
        <v>250000</v>
      </c>
    </row>
    <row r="359" ht="14.25">
      <c r="A359" s="3" t="s">
        <v>273</v>
      </c>
      <c r="B359" s="3" t="s">
        <v>391</v>
      </c>
      <c r="C359" s="3" t="s">
        <v>392</v>
      </c>
      <c r="D359" s="3" t="s">
        <v>17</v>
      </c>
      <c r="E359" s="3" t="s">
        <v>34</v>
      </c>
      <c r="F359" s="3" t="s">
        <v>19</v>
      </c>
      <c r="G359" s="4">
        <v>0</v>
      </c>
      <c r="H359" s="4">
        <v>26256000</v>
      </c>
      <c r="I359" s="3" t="s">
        <v>207</v>
      </c>
      <c r="J359" s="4">
        <v>6</v>
      </c>
      <c r="K359" s="3" t="s">
        <v>21</v>
      </c>
      <c r="L359" s="4">
        <v>192000</v>
      </c>
      <c r="M359" s="1">
        <f>O359*J359*K359</f>
        <v>0</v>
      </c>
      <c r="N359" s="3"/>
      <c r="O359" s="2">
        <f>L359/J359*(1-K359)</f>
        <v>32000</v>
      </c>
    </row>
    <row r="360" ht="14.25">
      <c r="A360" s="3" t="s">
        <v>273</v>
      </c>
      <c r="B360" s="3" t="s">
        <v>391</v>
      </c>
      <c r="C360" s="3" t="s">
        <v>392</v>
      </c>
      <c r="D360" s="3" t="s">
        <v>17</v>
      </c>
      <c r="E360" s="3" t="s">
        <v>34</v>
      </c>
      <c r="F360" s="3" t="s">
        <v>19</v>
      </c>
      <c r="G360" s="4">
        <v>0</v>
      </c>
      <c r="H360" s="4">
        <v>26256000</v>
      </c>
      <c r="I360" s="3" t="s">
        <v>161</v>
      </c>
      <c r="J360" s="4">
        <v>48</v>
      </c>
      <c r="K360" s="3" t="s">
        <v>21</v>
      </c>
      <c r="L360" s="4">
        <v>264000</v>
      </c>
      <c r="M360" s="1">
        <f>O360*J360*K360</f>
        <v>0</v>
      </c>
      <c r="N360" s="3"/>
      <c r="O360" s="2">
        <f>L360/J360*(1-K360)</f>
        <v>5500</v>
      </c>
    </row>
    <row r="361" ht="14.25">
      <c r="A361" s="3" t="s">
        <v>273</v>
      </c>
      <c r="B361" s="3" t="s">
        <v>391</v>
      </c>
      <c r="C361" s="3" t="s">
        <v>392</v>
      </c>
      <c r="D361" s="3" t="s">
        <v>17</v>
      </c>
      <c r="E361" s="3" t="s">
        <v>34</v>
      </c>
      <c r="F361" s="3" t="s">
        <v>19</v>
      </c>
      <c r="G361" s="4">
        <v>0</v>
      </c>
      <c r="H361" s="4">
        <v>26256000</v>
      </c>
      <c r="I361" s="3" t="s">
        <v>394</v>
      </c>
      <c r="J361" s="4">
        <v>10</v>
      </c>
      <c r="K361" s="3" t="s">
        <v>21</v>
      </c>
      <c r="L361" s="4">
        <v>3400000</v>
      </c>
      <c r="M361" s="1">
        <f>O361*J361*K361</f>
        <v>0</v>
      </c>
      <c r="N361" s="3"/>
      <c r="O361" s="2">
        <f>L361/J361*(1-K361)</f>
        <v>340000</v>
      </c>
    </row>
    <row r="362" ht="14.25">
      <c r="A362" s="3" t="s">
        <v>273</v>
      </c>
      <c r="B362" s="3" t="s">
        <v>391</v>
      </c>
      <c r="C362" s="3" t="s">
        <v>392</v>
      </c>
      <c r="D362" s="3" t="s">
        <v>17</v>
      </c>
      <c r="E362" s="3" t="s">
        <v>34</v>
      </c>
      <c r="F362" s="3" t="s">
        <v>19</v>
      </c>
      <c r="G362" s="4">
        <v>0</v>
      </c>
      <c r="H362" s="4">
        <v>26256000</v>
      </c>
      <c r="I362" s="3" t="s">
        <v>395</v>
      </c>
      <c r="J362" s="4">
        <v>12</v>
      </c>
      <c r="K362" s="3" t="s">
        <v>21</v>
      </c>
      <c r="L362" s="4">
        <v>1500000</v>
      </c>
      <c r="M362" s="1">
        <f>O362*J362*K362</f>
        <v>0</v>
      </c>
      <c r="N362" s="3"/>
      <c r="O362" s="2">
        <f>L362/J362*(1-K362)</f>
        <v>125000</v>
      </c>
    </row>
    <row r="363" ht="14.25">
      <c r="A363" s="3" t="s">
        <v>273</v>
      </c>
      <c r="B363" s="3" t="s">
        <v>396</v>
      </c>
      <c r="C363" s="3" t="s">
        <v>397</v>
      </c>
      <c r="D363" s="3" t="s">
        <v>17</v>
      </c>
      <c r="E363" s="3" t="s">
        <v>398</v>
      </c>
      <c r="F363" s="3" t="s">
        <v>19</v>
      </c>
      <c r="G363" s="4">
        <v>0</v>
      </c>
      <c r="H363" s="4">
        <v>32000000</v>
      </c>
      <c r="I363" s="3" t="s">
        <v>399</v>
      </c>
      <c r="J363" s="4">
        <v>50</v>
      </c>
      <c r="K363" s="3" t="s">
        <v>21</v>
      </c>
      <c r="L363" s="4">
        <v>15500000</v>
      </c>
      <c r="M363" s="1">
        <f>O363*J363*K363</f>
        <v>0</v>
      </c>
      <c r="N363" s="3"/>
      <c r="O363" s="2">
        <f>L363/J363*(1-K363)</f>
        <v>310000</v>
      </c>
    </row>
    <row r="364" ht="14.25">
      <c r="A364" s="3" t="s">
        <v>273</v>
      </c>
      <c r="B364" s="3" t="s">
        <v>396</v>
      </c>
      <c r="C364" s="3" t="s">
        <v>397</v>
      </c>
      <c r="D364" s="3" t="s">
        <v>17</v>
      </c>
      <c r="E364" s="3" t="s">
        <v>398</v>
      </c>
      <c r="F364" s="3" t="s">
        <v>19</v>
      </c>
      <c r="G364" s="4">
        <v>0</v>
      </c>
      <c r="H364" s="4">
        <v>32000000</v>
      </c>
      <c r="I364" s="3" t="s">
        <v>400</v>
      </c>
      <c r="J364" s="4">
        <v>50</v>
      </c>
      <c r="K364" s="3" t="s">
        <v>21</v>
      </c>
      <c r="L364" s="4">
        <v>16500000</v>
      </c>
      <c r="M364" s="1">
        <f>O364*J364*K364</f>
        <v>0</v>
      </c>
      <c r="N364" s="3"/>
      <c r="O364" s="2">
        <f>L364/J364*(1-K364)</f>
        <v>330000</v>
      </c>
    </row>
    <row r="365" ht="14.25">
      <c r="A365" s="3" t="s">
        <v>273</v>
      </c>
      <c r="B365" s="3" t="s">
        <v>391</v>
      </c>
      <c r="C365" s="3" t="s">
        <v>401</v>
      </c>
      <c r="D365" s="3" t="s">
        <v>17</v>
      </c>
      <c r="E365" s="3" t="s">
        <v>88</v>
      </c>
      <c r="F365" s="3" t="s">
        <v>19</v>
      </c>
      <c r="G365" s="4">
        <v>0</v>
      </c>
      <c r="H365" s="4">
        <v>8780000</v>
      </c>
      <c r="I365" s="3" t="s">
        <v>90</v>
      </c>
      <c r="J365" s="4">
        <v>10</v>
      </c>
      <c r="K365" s="3" t="s">
        <v>21</v>
      </c>
      <c r="L365" s="4">
        <v>5000000</v>
      </c>
      <c r="M365" s="1">
        <f>O365*J365*K365</f>
        <v>0</v>
      </c>
      <c r="N365" s="3"/>
      <c r="O365" s="2">
        <f>L365/J365*(1-K365)</f>
        <v>500000</v>
      </c>
    </row>
    <row r="366" ht="14.25">
      <c r="A366" s="3" t="s">
        <v>273</v>
      </c>
      <c r="B366" s="3" t="s">
        <v>391</v>
      </c>
      <c r="C366" s="3" t="s">
        <v>401</v>
      </c>
      <c r="D366" s="3" t="s">
        <v>17</v>
      </c>
      <c r="E366" s="3" t="s">
        <v>88</v>
      </c>
      <c r="F366" s="3" t="s">
        <v>19</v>
      </c>
      <c r="G366" s="4">
        <v>0</v>
      </c>
      <c r="H366" s="4">
        <v>8780000</v>
      </c>
      <c r="I366" s="3" t="s">
        <v>150</v>
      </c>
      <c r="J366" s="4">
        <v>5</v>
      </c>
      <c r="K366" s="3" t="s">
        <v>21</v>
      </c>
      <c r="L366" s="4">
        <v>2500000</v>
      </c>
      <c r="M366" s="1">
        <f>O366*J366*K366</f>
        <v>0</v>
      </c>
      <c r="N366" s="3"/>
      <c r="O366" s="2">
        <f>L366/J366*(1-K366)</f>
        <v>500000</v>
      </c>
    </row>
    <row r="367" ht="14.25">
      <c r="A367" s="3" t="s">
        <v>273</v>
      </c>
      <c r="B367" s="3" t="s">
        <v>391</v>
      </c>
      <c r="C367" s="3" t="s">
        <v>401</v>
      </c>
      <c r="D367" s="3" t="s">
        <v>17</v>
      </c>
      <c r="E367" s="3" t="s">
        <v>88</v>
      </c>
      <c r="F367" s="3" t="s">
        <v>19</v>
      </c>
      <c r="G367" s="4">
        <v>0</v>
      </c>
      <c r="H367" s="4">
        <v>8780000</v>
      </c>
      <c r="I367" s="3" t="s">
        <v>283</v>
      </c>
      <c r="J367" s="4">
        <v>1</v>
      </c>
      <c r="K367" s="3" t="s">
        <v>21</v>
      </c>
      <c r="L367" s="4">
        <v>1380000</v>
      </c>
      <c r="M367" s="1">
        <f>O367*J367*K367</f>
        <v>0</v>
      </c>
      <c r="N367" s="3"/>
      <c r="O367" s="2">
        <f>L367/J367*(1-K367)</f>
        <v>1380000</v>
      </c>
    </row>
    <row r="368" ht="14.25">
      <c r="A368" s="3" t="s">
        <v>273</v>
      </c>
      <c r="B368" s="3" t="s">
        <v>396</v>
      </c>
      <c r="C368" s="3" t="s">
        <v>402</v>
      </c>
      <c r="D368" s="3" t="s">
        <v>17</v>
      </c>
      <c r="E368" s="3" t="s">
        <v>403</v>
      </c>
      <c r="F368" s="3" t="s">
        <v>19</v>
      </c>
      <c r="G368" s="4">
        <v>0</v>
      </c>
      <c r="H368" s="4">
        <v>1726560</v>
      </c>
      <c r="I368" s="3" t="s">
        <v>404</v>
      </c>
      <c r="J368" s="4">
        <v>3</v>
      </c>
      <c r="K368" s="3" t="s">
        <v>405</v>
      </c>
      <c r="L368" s="4">
        <v>1962000</v>
      </c>
      <c r="M368" s="1">
        <f>O368*J368*K368</f>
        <v>207187.19999999998</v>
      </c>
      <c r="N368" s="3"/>
      <c r="O368" s="2">
        <f>L368/J368*(1-K368)</f>
        <v>575520</v>
      </c>
    </row>
    <row r="369" ht="14.25">
      <c r="A369" s="3" t="s">
        <v>284</v>
      </c>
      <c r="B369" s="3" t="s">
        <v>406</v>
      </c>
      <c r="C369" s="3" t="s">
        <v>407</v>
      </c>
      <c r="D369" s="3" t="s">
        <v>17</v>
      </c>
      <c r="E369" s="3" t="s">
        <v>408</v>
      </c>
      <c r="F369" s="3" t="s">
        <v>19</v>
      </c>
      <c r="G369" s="4">
        <v>0</v>
      </c>
      <c r="H369" s="4">
        <v>3775000</v>
      </c>
      <c r="I369" s="3" t="s">
        <v>409</v>
      </c>
      <c r="J369" s="4">
        <v>3</v>
      </c>
      <c r="K369" s="3" t="s">
        <v>21</v>
      </c>
      <c r="L369" s="4">
        <v>2100000</v>
      </c>
      <c r="M369" s="1">
        <f>O369*J369*K369</f>
        <v>0</v>
      </c>
      <c r="N369" s="3"/>
      <c r="O369" s="2">
        <f>L369/J369*(1-K369)</f>
        <v>700000</v>
      </c>
    </row>
    <row r="370" ht="14.25">
      <c r="A370" s="3" t="s">
        <v>284</v>
      </c>
      <c r="B370" s="3" t="s">
        <v>406</v>
      </c>
      <c r="C370" s="3" t="s">
        <v>407</v>
      </c>
      <c r="D370" s="3" t="s">
        <v>17</v>
      </c>
      <c r="E370" s="3" t="s">
        <v>408</v>
      </c>
      <c r="F370" s="3" t="s">
        <v>19</v>
      </c>
      <c r="G370" s="4">
        <v>0</v>
      </c>
      <c r="H370" s="4">
        <v>3775000</v>
      </c>
      <c r="I370" s="3" t="s">
        <v>410</v>
      </c>
      <c r="J370" s="4">
        <v>5</v>
      </c>
      <c r="K370" s="3" t="s">
        <v>21</v>
      </c>
      <c r="L370" s="4">
        <v>1675000</v>
      </c>
      <c r="M370" s="1">
        <f>O370*J370*K370</f>
        <v>0</v>
      </c>
      <c r="N370" s="3"/>
      <c r="O370" s="2">
        <f>L370/J370*(1-K370)</f>
        <v>335000</v>
      </c>
    </row>
    <row r="371" ht="14.25">
      <c r="A371" s="3" t="s">
        <v>284</v>
      </c>
      <c r="B371" s="3" t="s">
        <v>411</v>
      </c>
      <c r="C371" s="3" t="s">
        <v>412</v>
      </c>
      <c r="D371" s="3" t="s">
        <v>17</v>
      </c>
      <c r="E371" s="3" t="s">
        <v>168</v>
      </c>
      <c r="F371" s="3" t="s">
        <v>19</v>
      </c>
      <c r="G371" s="4">
        <v>0</v>
      </c>
      <c r="H371" s="4">
        <v>1203888</v>
      </c>
      <c r="I371" s="3" t="s">
        <v>180</v>
      </c>
      <c r="J371" s="4">
        <v>12</v>
      </c>
      <c r="K371" s="3" t="s">
        <v>21</v>
      </c>
      <c r="L371" s="4">
        <v>453888</v>
      </c>
      <c r="M371" s="1">
        <f>O371*J371*K371</f>
        <v>0</v>
      </c>
      <c r="N371" s="3"/>
      <c r="O371" s="2">
        <f>L371/J371*(1-K371)</f>
        <v>37824</v>
      </c>
    </row>
    <row r="372" ht="14.25">
      <c r="A372" s="3" t="s">
        <v>284</v>
      </c>
      <c r="B372" s="3" t="s">
        <v>411</v>
      </c>
      <c r="C372" s="3" t="s">
        <v>412</v>
      </c>
      <c r="D372" s="3" t="s">
        <v>17</v>
      </c>
      <c r="E372" s="3" t="s">
        <v>168</v>
      </c>
      <c r="F372" s="3" t="s">
        <v>19</v>
      </c>
      <c r="G372" s="4">
        <v>0</v>
      </c>
      <c r="H372" s="4">
        <v>1203888</v>
      </c>
      <c r="I372" s="3" t="s">
        <v>395</v>
      </c>
      <c r="J372" s="4">
        <v>6</v>
      </c>
      <c r="K372" s="3" t="s">
        <v>21</v>
      </c>
      <c r="L372" s="4">
        <v>750000</v>
      </c>
      <c r="M372" s="1">
        <f>O372*J372*K372</f>
        <v>0</v>
      </c>
      <c r="N372" s="3"/>
      <c r="O372" s="2">
        <f>L372/J372*(1-K372)</f>
        <v>125000</v>
      </c>
    </row>
    <row r="373" ht="14.25">
      <c r="A373" s="3" t="s">
        <v>284</v>
      </c>
      <c r="B373" s="3" t="s">
        <v>413</v>
      </c>
      <c r="C373" s="3" t="s">
        <v>414</v>
      </c>
      <c r="D373" s="3" t="s">
        <v>17</v>
      </c>
      <c r="E373" s="3" t="s">
        <v>107</v>
      </c>
      <c r="F373" s="3" t="s">
        <v>19</v>
      </c>
      <c r="G373" s="4">
        <v>0</v>
      </c>
      <c r="H373" s="4">
        <v>9100200</v>
      </c>
      <c r="I373" s="3" t="s">
        <v>110</v>
      </c>
      <c r="J373" s="4">
        <v>120</v>
      </c>
      <c r="K373" s="3" t="s">
        <v>21</v>
      </c>
      <c r="L373" s="4">
        <v>3400080</v>
      </c>
      <c r="M373" s="1">
        <f>O373*J373*K373</f>
        <v>0</v>
      </c>
      <c r="N373" s="3"/>
      <c r="O373" s="2">
        <f>L373/J373*(1-K373)</f>
        <v>28334</v>
      </c>
    </row>
    <row r="374" ht="14.25">
      <c r="A374" s="3" t="s">
        <v>284</v>
      </c>
      <c r="B374" s="3" t="s">
        <v>413</v>
      </c>
      <c r="C374" s="3" t="s">
        <v>414</v>
      </c>
      <c r="D374" s="3" t="s">
        <v>17</v>
      </c>
      <c r="E374" s="3" t="s">
        <v>107</v>
      </c>
      <c r="F374" s="3" t="s">
        <v>19</v>
      </c>
      <c r="G374" s="4">
        <v>0</v>
      </c>
      <c r="H374" s="4">
        <v>9100200</v>
      </c>
      <c r="I374" s="3" t="s">
        <v>111</v>
      </c>
      <c r="J374" s="4">
        <v>120</v>
      </c>
      <c r="K374" s="3" t="s">
        <v>21</v>
      </c>
      <c r="L374" s="4">
        <v>3400080</v>
      </c>
      <c r="M374" s="1">
        <f>O374*J374*K374</f>
        <v>0</v>
      </c>
      <c r="N374" s="3"/>
      <c r="O374" s="2">
        <f>L374/J374*(1-K374)</f>
        <v>28334</v>
      </c>
    </row>
    <row r="375" ht="14.25">
      <c r="A375" s="3" t="s">
        <v>284</v>
      </c>
      <c r="B375" s="3" t="s">
        <v>413</v>
      </c>
      <c r="C375" s="3" t="s">
        <v>414</v>
      </c>
      <c r="D375" s="3" t="s">
        <v>17</v>
      </c>
      <c r="E375" s="3" t="s">
        <v>107</v>
      </c>
      <c r="F375" s="3" t="s">
        <v>19</v>
      </c>
      <c r="G375" s="4">
        <v>0</v>
      </c>
      <c r="H375" s="4">
        <v>9100200</v>
      </c>
      <c r="I375" s="3" t="s">
        <v>415</v>
      </c>
      <c r="J375" s="4">
        <v>60</v>
      </c>
      <c r="K375" s="3" t="s">
        <v>21</v>
      </c>
      <c r="L375" s="4">
        <v>2300040</v>
      </c>
      <c r="M375" s="1">
        <f>O375*J375*K375</f>
        <v>0</v>
      </c>
      <c r="N375" s="3"/>
      <c r="O375" s="2">
        <f>L375/J375*(1-K375)</f>
        <v>38334</v>
      </c>
    </row>
    <row r="376" ht="14.25">
      <c r="A376" s="3" t="s">
        <v>284</v>
      </c>
      <c r="B376" s="3" t="s">
        <v>406</v>
      </c>
      <c r="C376" s="3" t="s">
        <v>416</v>
      </c>
      <c r="D376" s="3" t="s">
        <v>17</v>
      </c>
      <c r="E376" s="3" t="s">
        <v>34</v>
      </c>
      <c r="F376" s="3" t="s">
        <v>19</v>
      </c>
      <c r="G376" s="4">
        <v>0</v>
      </c>
      <c r="H376" s="4">
        <v>11748440</v>
      </c>
      <c r="I376" s="3" t="s">
        <v>395</v>
      </c>
      <c r="J376" s="4">
        <v>12</v>
      </c>
      <c r="K376" s="3" t="s">
        <v>21</v>
      </c>
      <c r="L376" s="4">
        <v>1500000</v>
      </c>
      <c r="M376" s="1">
        <f>O376*J376*K376</f>
        <v>0</v>
      </c>
      <c r="N376" s="3"/>
      <c r="O376" s="2">
        <f>L376/J376*(1-K376)</f>
        <v>125000</v>
      </c>
    </row>
    <row r="377" ht="14.25">
      <c r="A377" s="3" t="s">
        <v>284</v>
      </c>
      <c r="B377" s="3" t="s">
        <v>406</v>
      </c>
      <c r="C377" s="3" t="s">
        <v>416</v>
      </c>
      <c r="D377" s="3" t="s">
        <v>17</v>
      </c>
      <c r="E377" s="3" t="s">
        <v>34</v>
      </c>
      <c r="F377" s="3" t="s">
        <v>19</v>
      </c>
      <c r="G377" s="4">
        <v>0</v>
      </c>
      <c r="H377" s="4">
        <v>11748440</v>
      </c>
      <c r="I377" s="3" t="s">
        <v>417</v>
      </c>
      <c r="J377" s="4">
        <v>8</v>
      </c>
      <c r="K377" s="3" t="s">
        <v>21</v>
      </c>
      <c r="L377" s="4">
        <v>1300000</v>
      </c>
      <c r="M377" s="1">
        <f>O377*J377*K377</f>
        <v>0</v>
      </c>
      <c r="N377" s="3"/>
      <c r="O377" s="2">
        <f>L377/J377*(1-K377)</f>
        <v>162500</v>
      </c>
    </row>
    <row r="378" ht="14.25">
      <c r="A378" s="3" t="s">
        <v>284</v>
      </c>
      <c r="B378" s="3" t="s">
        <v>406</v>
      </c>
      <c r="C378" s="3" t="s">
        <v>416</v>
      </c>
      <c r="D378" s="3" t="s">
        <v>17</v>
      </c>
      <c r="E378" s="3" t="s">
        <v>34</v>
      </c>
      <c r="F378" s="3" t="s">
        <v>19</v>
      </c>
      <c r="G378" s="4">
        <v>0</v>
      </c>
      <c r="H378" s="4">
        <v>11748440</v>
      </c>
      <c r="I378" s="3" t="s">
        <v>126</v>
      </c>
      <c r="J378" s="4">
        <v>4</v>
      </c>
      <c r="K378" s="3" t="s">
        <v>21</v>
      </c>
      <c r="L378" s="4">
        <v>940440</v>
      </c>
      <c r="M378" s="1">
        <f>O378*J378*K378</f>
        <v>0</v>
      </c>
      <c r="N378" s="3"/>
      <c r="O378" s="2">
        <f>L378/J378*(1-K378)</f>
        <v>235110</v>
      </c>
    </row>
    <row r="379" ht="14.25">
      <c r="A379" s="3" t="s">
        <v>284</v>
      </c>
      <c r="B379" s="3" t="s">
        <v>406</v>
      </c>
      <c r="C379" s="3" t="s">
        <v>416</v>
      </c>
      <c r="D379" s="3" t="s">
        <v>17</v>
      </c>
      <c r="E379" s="3" t="s">
        <v>34</v>
      </c>
      <c r="F379" s="3" t="s">
        <v>19</v>
      </c>
      <c r="G379" s="4">
        <v>0</v>
      </c>
      <c r="H379" s="4">
        <v>11748440</v>
      </c>
      <c r="I379" s="3" t="s">
        <v>418</v>
      </c>
      <c r="J379" s="4">
        <v>2</v>
      </c>
      <c r="K379" s="3" t="s">
        <v>21</v>
      </c>
      <c r="L379" s="4">
        <v>2000000</v>
      </c>
      <c r="M379" s="1">
        <f>O379*J379*K379</f>
        <v>0</v>
      </c>
      <c r="N379" s="3"/>
      <c r="O379" s="2">
        <f>L379/J379*(1-K379)</f>
        <v>1000000</v>
      </c>
    </row>
    <row r="380" ht="14.25">
      <c r="A380" s="3" t="s">
        <v>284</v>
      </c>
      <c r="B380" s="3" t="s">
        <v>406</v>
      </c>
      <c r="C380" s="3" t="s">
        <v>416</v>
      </c>
      <c r="D380" s="3" t="s">
        <v>17</v>
      </c>
      <c r="E380" s="3" t="s">
        <v>34</v>
      </c>
      <c r="F380" s="3" t="s">
        <v>19</v>
      </c>
      <c r="G380" s="4">
        <v>0</v>
      </c>
      <c r="H380" s="4">
        <v>11748440</v>
      </c>
      <c r="I380" s="3" t="s">
        <v>318</v>
      </c>
      <c r="J380" s="4">
        <v>2</v>
      </c>
      <c r="K380" s="3" t="s">
        <v>21</v>
      </c>
      <c r="L380" s="4">
        <v>480000</v>
      </c>
      <c r="M380" s="1">
        <f>O380*J380*K380</f>
        <v>0</v>
      </c>
      <c r="N380" s="3"/>
      <c r="O380" s="2">
        <f>L380/J380*(1-K380)</f>
        <v>240000</v>
      </c>
    </row>
    <row r="381" ht="14.25">
      <c r="A381" s="3" t="s">
        <v>284</v>
      </c>
      <c r="B381" s="3" t="s">
        <v>406</v>
      </c>
      <c r="C381" s="3" t="s">
        <v>416</v>
      </c>
      <c r="D381" s="3" t="s">
        <v>17</v>
      </c>
      <c r="E381" s="3" t="s">
        <v>34</v>
      </c>
      <c r="F381" s="3" t="s">
        <v>19</v>
      </c>
      <c r="G381" s="4">
        <v>0</v>
      </c>
      <c r="H381" s="4">
        <v>11748440</v>
      </c>
      <c r="I381" s="3" t="s">
        <v>120</v>
      </c>
      <c r="J381" s="4">
        <v>1</v>
      </c>
      <c r="K381" s="3" t="s">
        <v>21</v>
      </c>
      <c r="L381" s="4">
        <v>220000</v>
      </c>
      <c r="M381" s="1">
        <f>O381*J381*K381</f>
        <v>0</v>
      </c>
      <c r="N381" s="3"/>
      <c r="O381" s="2">
        <f>L381/J381*(1-K381)</f>
        <v>220000</v>
      </c>
    </row>
    <row r="382" ht="14.25">
      <c r="A382" s="3" t="s">
        <v>284</v>
      </c>
      <c r="B382" s="3" t="s">
        <v>406</v>
      </c>
      <c r="C382" s="3" t="s">
        <v>416</v>
      </c>
      <c r="D382" s="3" t="s">
        <v>17</v>
      </c>
      <c r="E382" s="3" t="s">
        <v>34</v>
      </c>
      <c r="F382" s="3" t="s">
        <v>19</v>
      </c>
      <c r="G382" s="4">
        <v>0</v>
      </c>
      <c r="H382" s="4">
        <v>11748440</v>
      </c>
      <c r="I382" s="3" t="s">
        <v>299</v>
      </c>
      <c r="J382" s="4">
        <v>24</v>
      </c>
      <c r="K382" s="3" t="s">
        <v>21</v>
      </c>
      <c r="L382" s="4">
        <v>804000</v>
      </c>
      <c r="M382" s="1">
        <f>O382*J382*K382</f>
        <v>0</v>
      </c>
      <c r="N382" s="3"/>
      <c r="O382" s="2">
        <f>L382/J382*(1-K382)</f>
        <v>33500</v>
      </c>
    </row>
    <row r="383" ht="14.25">
      <c r="A383" s="3" t="s">
        <v>284</v>
      </c>
      <c r="B383" s="3" t="s">
        <v>406</v>
      </c>
      <c r="C383" s="3" t="s">
        <v>416</v>
      </c>
      <c r="D383" s="3" t="s">
        <v>17</v>
      </c>
      <c r="E383" s="3" t="s">
        <v>34</v>
      </c>
      <c r="F383" s="3" t="s">
        <v>19</v>
      </c>
      <c r="G383" s="4">
        <v>0</v>
      </c>
      <c r="H383" s="4">
        <v>11748440</v>
      </c>
      <c r="I383" s="3" t="s">
        <v>380</v>
      </c>
      <c r="J383" s="4">
        <v>24</v>
      </c>
      <c r="K383" s="3" t="s">
        <v>21</v>
      </c>
      <c r="L383" s="4">
        <v>720000</v>
      </c>
      <c r="M383" s="1">
        <f>O383*J383*K383</f>
        <v>0</v>
      </c>
      <c r="N383" s="3"/>
      <c r="O383" s="2">
        <f>L383/J383*(1-K383)</f>
        <v>30000</v>
      </c>
    </row>
    <row r="384" ht="14.25">
      <c r="A384" s="3" t="s">
        <v>284</v>
      </c>
      <c r="B384" s="3" t="s">
        <v>406</v>
      </c>
      <c r="C384" s="3" t="s">
        <v>416</v>
      </c>
      <c r="D384" s="3" t="s">
        <v>17</v>
      </c>
      <c r="E384" s="3" t="s">
        <v>34</v>
      </c>
      <c r="F384" s="3" t="s">
        <v>19</v>
      </c>
      <c r="G384" s="4">
        <v>0</v>
      </c>
      <c r="H384" s="4">
        <v>11748440</v>
      </c>
      <c r="I384" s="3" t="s">
        <v>44</v>
      </c>
      <c r="J384" s="4">
        <v>24</v>
      </c>
      <c r="K384" s="3" t="s">
        <v>21</v>
      </c>
      <c r="L384" s="4">
        <v>720000</v>
      </c>
      <c r="M384" s="1">
        <f>O384*J384*K384</f>
        <v>0</v>
      </c>
      <c r="N384" s="3"/>
      <c r="O384" s="2">
        <f>L384/J384*(1-K384)</f>
        <v>30000</v>
      </c>
    </row>
    <row r="385" ht="14.25">
      <c r="A385" s="3" t="s">
        <v>284</v>
      </c>
      <c r="B385" s="3" t="s">
        <v>406</v>
      </c>
      <c r="C385" s="3" t="s">
        <v>416</v>
      </c>
      <c r="D385" s="3" t="s">
        <v>17</v>
      </c>
      <c r="E385" s="3" t="s">
        <v>34</v>
      </c>
      <c r="F385" s="3" t="s">
        <v>19</v>
      </c>
      <c r="G385" s="4">
        <v>0</v>
      </c>
      <c r="H385" s="4">
        <v>11748440</v>
      </c>
      <c r="I385" s="3" t="s">
        <v>419</v>
      </c>
      <c r="J385" s="4">
        <v>24</v>
      </c>
      <c r="K385" s="3" t="s">
        <v>21</v>
      </c>
      <c r="L385" s="4">
        <v>804000</v>
      </c>
      <c r="M385" s="1">
        <f>O385*J385*K385</f>
        <v>0</v>
      </c>
      <c r="N385" s="3"/>
      <c r="O385" s="2">
        <f>L385/J385*(1-K385)</f>
        <v>33500</v>
      </c>
    </row>
    <row r="386" ht="14.25">
      <c r="A386" s="3" t="s">
        <v>284</v>
      </c>
      <c r="B386" s="3" t="s">
        <v>406</v>
      </c>
      <c r="C386" s="3" t="s">
        <v>416</v>
      </c>
      <c r="D386" s="3" t="s">
        <v>17</v>
      </c>
      <c r="E386" s="3" t="s">
        <v>34</v>
      </c>
      <c r="F386" s="3" t="s">
        <v>19</v>
      </c>
      <c r="G386" s="4">
        <v>0</v>
      </c>
      <c r="H386" s="4">
        <v>11748440</v>
      </c>
      <c r="I386" s="3" t="s">
        <v>420</v>
      </c>
      <c r="J386" s="4">
        <v>2</v>
      </c>
      <c r="K386" s="3" t="s">
        <v>21</v>
      </c>
      <c r="L386" s="4">
        <v>1300000</v>
      </c>
      <c r="M386" s="1">
        <f>O386*J386*K386</f>
        <v>0</v>
      </c>
      <c r="N386" s="3"/>
      <c r="O386" s="2">
        <f>L386/J386*(1-K386)</f>
        <v>650000</v>
      </c>
    </row>
    <row r="387" ht="14.25">
      <c r="A387" s="3" t="s">
        <v>284</v>
      </c>
      <c r="B387" s="3" t="s">
        <v>406</v>
      </c>
      <c r="C387" s="3" t="s">
        <v>416</v>
      </c>
      <c r="D387" s="3" t="s">
        <v>17</v>
      </c>
      <c r="E387" s="3" t="s">
        <v>34</v>
      </c>
      <c r="F387" s="3" t="s">
        <v>19</v>
      </c>
      <c r="G387" s="4">
        <v>0</v>
      </c>
      <c r="H387" s="4">
        <v>11748440</v>
      </c>
      <c r="I387" s="3" t="s">
        <v>319</v>
      </c>
      <c r="J387" s="4">
        <v>4</v>
      </c>
      <c r="K387" s="3" t="s">
        <v>21</v>
      </c>
      <c r="L387" s="4">
        <v>960000</v>
      </c>
      <c r="M387" s="1">
        <f>O387*J387*K387</f>
        <v>0</v>
      </c>
      <c r="N387" s="3"/>
      <c r="O387" s="2">
        <f>L387/J387*(1-K387)</f>
        <v>240000</v>
      </c>
    </row>
    <row r="388" ht="14.25">
      <c r="A388" s="3" t="s">
        <v>301</v>
      </c>
      <c r="B388" s="3" t="s">
        <v>421</v>
      </c>
      <c r="C388" s="3" t="s">
        <v>422</v>
      </c>
      <c r="D388" s="3" t="s">
        <v>17</v>
      </c>
      <c r="E388" s="3" t="s">
        <v>43</v>
      </c>
      <c r="F388" s="3" t="s">
        <v>19</v>
      </c>
      <c r="G388" s="4">
        <v>0</v>
      </c>
      <c r="H388" s="4">
        <v>12006552</v>
      </c>
      <c r="I388" s="3" t="s">
        <v>44</v>
      </c>
      <c r="J388" s="4">
        <v>120</v>
      </c>
      <c r="K388" s="3" t="s">
        <v>21</v>
      </c>
      <c r="L388" s="4">
        <v>3840000</v>
      </c>
      <c r="M388" s="1">
        <f>O388*J388*K388</f>
        <v>0</v>
      </c>
      <c r="N388" s="3"/>
      <c r="O388" s="2">
        <f>L388/J388*(1-K388)</f>
        <v>32000</v>
      </c>
    </row>
    <row r="389" ht="14.25">
      <c r="A389" s="3" t="s">
        <v>301</v>
      </c>
      <c r="B389" s="3" t="s">
        <v>421</v>
      </c>
      <c r="C389" s="3" t="s">
        <v>422</v>
      </c>
      <c r="D389" s="3" t="s">
        <v>17</v>
      </c>
      <c r="E389" s="3" t="s">
        <v>43</v>
      </c>
      <c r="F389" s="3" t="s">
        <v>19</v>
      </c>
      <c r="G389" s="4">
        <v>0</v>
      </c>
      <c r="H389" s="4">
        <v>12006552</v>
      </c>
      <c r="I389" s="3" t="s">
        <v>45</v>
      </c>
      <c r="J389" s="4">
        <v>72</v>
      </c>
      <c r="K389" s="3" t="s">
        <v>21</v>
      </c>
      <c r="L389" s="4">
        <v>2304000</v>
      </c>
      <c r="M389" s="1">
        <f>O389*J389*K389</f>
        <v>0</v>
      </c>
      <c r="N389" s="3"/>
      <c r="O389" s="2">
        <f>L389/J389*(1-K389)</f>
        <v>32000</v>
      </c>
    </row>
    <row r="390" ht="14.25">
      <c r="A390" s="3" t="s">
        <v>301</v>
      </c>
      <c r="B390" s="3" t="s">
        <v>421</v>
      </c>
      <c r="C390" s="3" t="s">
        <v>422</v>
      </c>
      <c r="D390" s="3" t="s">
        <v>17</v>
      </c>
      <c r="E390" s="3" t="s">
        <v>43</v>
      </c>
      <c r="F390" s="3" t="s">
        <v>19</v>
      </c>
      <c r="G390" s="4">
        <v>0</v>
      </c>
      <c r="H390" s="4">
        <v>12006552</v>
      </c>
      <c r="I390" s="3" t="s">
        <v>47</v>
      </c>
      <c r="J390" s="4">
        <v>72</v>
      </c>
      <c r="K390" s="3" t="s">
        <v>21</v>
      </c>
      <c r="L390" s="4">
        <v>2688048</v>
      </c>
      <c r="M390" s="1">
        <f>O390*J390*K390</f>
        <v>0</v>
      </c>
      <c r="N390" s="3"/>
      <c r="O390" s="2">
        <f>L390/J390*(1-K390)</f>
        <v>37334</v>
      </c>
    </row>
    <row r="391" ht="14.25">
      <c r="A391" s="3" t="s">
        <v>301</v>
      </c>
      <c r="B391" s="3" t="s">
        <v>421</v>
      </c>
      <c r="C391" s="3" t="s">
        <v>422</v>
      </c>
      <c r="D391" s="3" t="s">
        <v>17</v>
      </c>
      <c r="E391" s="3" t="s">
        <v>43</v>
      </c>
      <c r="F391" s="3" t="s">
        <v>19</v>
      </c>
      <c r="G391" s="4">
        <v>0</v>
      </c>
      <c r="H391" s="4">
        <v>12006552</v>
      </c>
      <c r="I391" s="3" t="s">
        <v>423</v>
      </c>
      <c r="J391" s="4">
        <v>20</v>
      </c>
      <c r="K391" s="3" t="s">
        <v>21</v>
      </c>
      <c r="L391" s="4">
        <v>705000</v>
      </c>
      <c r="M391" s="1">
        <f>O391*J391*K391</f>
        <v>0</v>
      </c>
      <c r="N391" s="3"/>
      <c r="O391" s="2">
        <f>L391/J391*(1-K391)</f>
        <v>35250</v>
      </c>
    </row>
    <row r="392" ht="14.25">
      <c r="A392" s="3" t="s">
        <v>301</v>
      </c>
      <c r="B392" s="3" t="s">
        <v>421</v>
      </c>
      <c r="C392" s="3" t="s">
        <v>422</v>
      </c>
      <c r="D392" s="3" t="s">
        <v>17</v>
      </c>
      <c r="E392" s="3" t="s">
        <v>43</v>
      </c>
      <c r="F392" s="3" t="s">
        <v>19</v>
      </c>
      <c r="G392" s="4">
        <v>0</v>
      </c>
      <c r="H392" s="4">
        <v>12006552</v>
      </c>
      <c r="I392" s="3" t="s">
        <v>424</v>
      </c>
      <c r="J392" s="4">
        <v>24</v>
      </c>
      <c r="K392" s="3" t="s">
        <v>21</v>
      </c>
      <c r="L392" s="4">
        <v>724992</v>
      </c>
      <c r="M392" s="1">
        <f>O392*J392*K392</f>
        <v>0</v>
      </c>
      <c r="N392" s="3"/>
      <c r="O392" s="2">
        <f>L392/J392*(1-K392)</f>
        <v>30208</v>
      </c>
    </row>
    <row r="393" ht="14.25">
      <c r="A393" s="3" t="s">
        <v>301</v>
      </c>
      <c r="B393" s="3" t="s">
        <v>421</v>
      </c>
      <c r="C393" s="3" t="s">
        <v>422</v>
      </c>
      <c r="D393" s="3" t="s">
        <v>17</v>
      </c>
      <c r="E393" s="3" t="s">
        <v>43</v>
      </c>
      <c r="F393" s="3" t="s">
        <v>19</v>
      </c>
      <c r="G393" s="4">
        <v>0</v>
      </c>
      <c r="H393" s="4">
        <v>12006552</v>
      </c>
      <c r="I393" s="3" t="s">
        <v>111</v>
      </c>
      <c r="J393" s="4">
        <v>48</v>
      </c>
      <c r="K393" s="3" t="s">
        <v>21</v>
      </c>
      <c r="L393" s="4">
        <v>1744512</v>
      </c>
      <c r="M393" s="1">
        <f>O393*J393*K393</f>
        <v>0</v>
      </c>
      <c r="N393" s="3"/>
      <c r="O393" s="2">
        <f>L393/J393*(1-K393)</f>
        <v>36344</v>
      </c>
    </row>
    <row r="394" ht="14.25">
      <c r="A394" s="3" t="s">
        <v>301</v>
      </c>
      <c r="B394" s="3" t="s">
        <v>421</v>
      </c>
      <c r="C394" s="3" t="s">
        <v>425</v>
      </c>
      <c r="D394" s="3" t="s">
        <v>17</v>
      </c>
      <c r="E394" s="3" t="s">
        <v>85</v>
      </c>
      <c r="F394" s="3" t="s">
        <v>19</v>
      </c>
      <c r="G394" s="4">
        <v>0</v>
      </c>
      <c r="H394" s="4">
        <v>11000000</v>
      </c>
      <c r="I394" s="3" t="s">
        <v>250</v>
      </c>
      <c r="J394" s="4">
        <v>40</v>
      </c>
      <c r="K394" s="3" t="s">
        <v>21</v>
      </c>
      <c r="L394" s="4">
        <v>7000000</v>
      </c>
      <c r="M394" s="1">
        <f>O394*J394*K394</f>
        <v>0</v>
      </c>
      <c r="N394" s="3"/>
      <c r="O394" s="2">
        <f>L394/J394*(1-K394)</f>
        <v>175000</v>
      </c>
    </row>
    <row r="395" ht="14.25">
      <c r="A395" s="3" t="s">
        <v>301</v>
      </c>
      <c r="B395" s="3" t="s">
        <v>421</v>
      </c>
      <c r="C395" s="3" t="s">
        <v>425</v>
      </c>
      <c r="D395" s="3" t="s">
        <v>17</v>
      </c>
      <c r="E395" s="3" t="s">
        <v>85</v>
      </c>
      <c r="F395" s="3" t="s">
        <v>19</v>
      </c>
      <c r="G395" s="4">
        <v>0</v>
      </c>
      <c r="H395" s="4">
        <v>11000000</v>
      </c>
      <c r="I395" s="3" t="s">
        <v>383</v>
      </c>
      <c r="J395" s="4">
        <v>20</v>
      </c>
      <c r="K395" s="3" t="s">
        <v>21</v>
      </c>
      <c r="L395" s="4">
        <v>4000000</v>
      </c>
      <c r="M395" s="1">
        <f>O395*J395*K395</f>
        <v>0</v>
      </c>
      <c r="N395" s="3"/>
      <c r="O395" s="2">
        <f>L395/J395*(1-K395)</f>
        <v>200000</v>
      </c>
    </row>
    <row r="396" ht="14.25">
      <c r="A396" s="3" t="s">
        <v>301</v>
      </c>
      <c r="B396" s="3" t="s">
        <v>426</v>
      </c>
      <c r="C396" s="3" t="s">
        <v>427</v>
      </c>
      <c r="D396" s="3" t="s">
        <v>17</v>
      </c>
      <c r="E396" s="3" t="s">
        <v>428</v>
      </c>
      <c r="F396" s="3" t="s">
        <v>19</v>
      </c>
      <c r="G396" s="4">
        <v>0</v>
      </c>
      <c r="H396" s="4">
        <v>4000000</v>
      </c>
      <c r="I396" s="3" t="s">
        <v>35</v>
      </c>
      <c r="J396" s="4">
        <v>1</v>
      </c>
      <c r="K396" s="3" t="s">
        <v>21</v>
      </c>
      <c r="L396" s="4">
        <v>4000000</v>
      </c>
      <c r="M396" s="1">
        <f>O396*J396*K396</f>
        <v>0</v>
      </c>
      <c r="N396" s="3"/>
      <c r="O396" s="2">
        <f>L396/J396*(1-K396)</f>
        <v>4000000</v>
      </c>
    </row>
    <row r="397" ht="14.25">
      <c r="A397" s="3" t="s">
        <v>301</v>
      </c>
      <c r="B397" s="3" t="s">
        <v>426</v>
      </c>
      <c r="C397" s="3" t="s">
        <v>429</v>
      </c>
      <c r="D397" s="3" t="s">
        <v>17</v>
      </c>
      <c r="E397" s="3" t="s">
        <v>286</v>
      </c>
      <c r="F397" s="3" t="s">
        <v>19</v>
      </c>
      <c r="G397" s="4">
        <v>0</v>
      </c>
      <c r="H397" s="4">
        <v>1056000</v>
      </c>
      <c r="I397" s="3" t="s">
        <v>161</v>
      </c>
      <c r="J397" s="4">
        <v>192</v>
      </c>
      <c r="K397" s="3" t="s">
        <v>21</v>
      </c>
      <c r="L397" s="4">
        <v>1056000</v>
      </c>
      <c r="M397" s="1">
        <f>O397*J397*K397</f>
        <v>0</v>
      </c>
      <c r="N397" s="3"/>
      <c r="O397" s="2">
        <f>L397/J397*(1-K397)</f>
        <v>5500</v>
      </c>
    </row>
    <row r="398" ht="14.25">
      <c r="A398" s="3" t="s">
        <v>301</v>
      </c>
      <c r="B398" s="3" t="s">
        <v>426</v>
      </c>
      <c r="C398" s="3" t="s">
        <v>430</v>
      </c>
      <c r="D398" s="3" t="s">
        <v>17</v>
      </c>
      <c r="E398" s="3" t="s">
        <v>289</v>
      </c>
      <c r="F398" s="3" t="s">
        <v>19</v>
      </c>
      <c r="G398" s="4">
        <v>0</v>
      </c>
      <c r="H398" s="4">
        <v>0</v>
      </c>
      <c r="I398" s="3" t="s">
        <v>431</v>
      </c>
      <c r="J398" s="4">
        <v>13</v>
      </c>
      <c r="K398" s="3" t="s">
        <v>21</v>
      </c>
      <c r="L398" s="4">
        <v>0</v>
      </c>
      <c r="M398" s="1">
        <f>O398*J398*K398</f>
        <v>0</v>
      </c>
      <c r="N398" s="3"/>
      <c r="O398" s="2">
        <f>L398/J398*(1-K398)</f>
        <v>0</v>
      </c>
    </row>
    <row r="399" ht="14.25">
      <c r="A399" s="3" t="s">
        <v>301</v>
      </c>
      <c r="B399" s="3" t="s">
        <v>426</v>
      </c>
      <c r="C399" s="3" t="s">
        <v>432</v>
      </c>
      <c r="D399" s="3" t="s">
        <v>17</v>
      </c>
      <c r="E399" s="3" t="s">
        <v>369</v>
      </c>
      <c r="F399" s="3" t="s">
        <v>19</v>
      </c>
      <c r="G399" s="4">
        <v>0</v>
      </c>
      <c r="H399" s="4">
        <v>1632000</v>
      </c>
      <c r="I399" s="3" t="s">
        <v>144</v>
      </c>
      <c r="J399" s="4">
        <v>24</v>
      </c>
      <c r="K399" s="3" t="s">
        <v>21</v>
      </c>
      <c r="L399" s="4">
        <v>1632000</v>
      </c>
      <c r="M399" s="1">
        <f>O399*J399*K399</f>
        <v>0</v>
      </c>
      <c r="N399" s="3"/>
      <c r="O399" s="2">
        <f>L399/J399*(1-K399)</f>
        <v>68000</v>
      </c>
    </row>
    <row r="400" ht="14.25">
      <c r="A400" s="3" t="s">
        <v>332</v>
      </c>
      <c r="B400" s="3" t="s">
        <v>433</v>
      </c>
      <c r="C400" s="3" t="s">
        <v>434</v>
      </c>
      <c r="D400" s="3" t="s">
        <v>17</v>
      </c>
      <c r="E400" s="3" t="s">
        <v>214</v>
      </c>
      <c r="F400" s="3" t="s">
        <v>19</v>
      </c>
      <c r="G400" s="4">
        <v>0</v>
      </c>
      <c r="H400" s="4">
        <v>9400000</v>
      </c>
      <c r="I400" s="3" t="s">
        <v>29</v>
      </c>
      <c r="J400" s="4">
        <v>20</v>
      </c>
      <c r="K400" s="3" t="s">
        <v>21</v>
      </c>
      <c r="L400" s="4">
        <v>9400000</v>
      </c>
      <c r="M400" s="1">
        <f>O400*J400*K400</f>
        <v>0</v>
      </c>
      <c r="N400" s="3"/>
      <c r="O400" s="2">
        <f>L400/J400*(1-K400)</f>
        <v>470000</v>
      </c>
    </row>
    <row r="401" ht="14.25">
      <c r="A401" s="3" t="s">
        <v>332</v>
      </c>
      <c r="B401" s="3" t="s">
        <v>433</v>
      </c>
      <c r="C401" s="3" t="s">
        <v>435</v>
      </c>
      <c r="D401" s="3" t="s">
        <v>17</v>
      </c>
      <c r="E401" s="3" t="s">
        <v>436</v>
      </c>
      <c r="F401" s="3" t="s">
        <v>19</v>
      </c>
      <c r="G401" s="4">
        <v>0</v>
      </c>
      <c r="H401" s="4">
        <v>3900000</v>
      </c>
      <c r="I401" s="3" t="s">
        <v>35</v>
      </c>
      <c r="J401" s="4">
        <v>1</v>
      </c>
      <c r="K401" s="3" t="s">
        <v>21</v>
      </c>
      <c r="L401" s="4">
        <v>3900000</v>
      </c>
      <c r="M401" s="1">
        <f>O401*J401*K401</f>
        <v>0</v>
      </c>
      <c r="N401" s="3"/>
      <c r="O401" s="2">
        <f>L401/J401*(1-K401)</f>
        <v>3900000</v>
      </c>
    </row>
    <row r="402" ht="14.25">
      <c r="A402" s="3" t="s">
        <v>332</v>
      </c>
      <c r="B402" s="3" t="s">
        <v>437</v>
      </c>
      <c r="C402" s="3" t="s">
        <v>438</v>
      </c>
      <c r="D402" s="3" t="s">
        <v>17</v>
      </c>
      <c r="E402" s="3" t="s">
        <v>439</v>
      </c>
      <c r="F402" s="3" t="s">
        <v>19</v>
      </c>
      <c r="G402" s="4">
        <v>0</v>
      </c>
      <c r="H402" s="4">
        <v>6500000</v>
      </c>
      <c r="I402" s="3" t="s">
        <v>135</v>
      </c>
      <c r="J402" s="4">
        <v>5</v>
      </c>
      <c r="K402" s="3" t="s">
        <v>21</v>
      </c>
      <c r="L402" s="4">
        <v>6500000</v>
      </c>
      <c r="M402" s="1">
        <f>O402*J402*K402</f>
        <v>0</v>
      </c>
      <c r="N402" s="3"/>
      <c r="O402" s="2">
        <f>L402/J402*(1-K402)</f>
        <v>1300000</v>
      </c>
    </row>
    <row r="403" ht="14.25">
      <c r="A403" s="3" t="s">
        <v>332</v>
      </c>
      <c r="B403" s="3" t="s">
        <v>433</v>
      </c>
      <c r="C403" s="3" t="s">
        <v>440</v>
      </c>
      <c r="D403" s="3" t="s">
        <v>17</v>
      </c>
      <c r="E403" s="3" t="s">
        <v>441</v>
      </c>
      <c r="F403" s="3" t="s">
        <v>19</v>
      </c>
      <c r="G403" s="4">
        <v>0</v>
      </c>
      <c r="H403" s="4">
        <v>7000000</v>
      </c>
      <c r="I403" s="3" t="s">
        <v>442</v>
      </c>
      <c r="J403" s="4">
        <v>1</v>
      </c>
      <c r="K403" s="3" t="s">
        <v>21</v>
      </c>
      <c r="L403" s="4">
        <v>7000000</v>
      </c>
      <c r="M403" s="1">
        <f>O403*J403*K403</f>
        <v>0</v>
      </c>
      <c r="N403" s="3"/>
      <c r="O403" s="2">
        <f>L403/J403*(1-K403)</f>
        <v>7000000</v>
      </c>
    </row>
    <row r="404" ht="14.25">
      <c r="A404" s="3" t="s">
        <v>332</v>
      </c>
      <c r="B404" s="3" t="s">
        <v>433</v>
      </c>
      <c r="C404" s="3" t="s">
        <v>443</v>
      </c>
      <c r="D404" s="3" t="s">
        <v>17</v>
      </c>
      <c r="E404" s="3" t="s">
        <v>444</v>
      </c>
      <c r="F404" s="3" t="s">
        <v>19</v>
      </c>
      <c r="G404" s="4">
        <v>0</v>
      </c>
      <c r="H404" s="4">
        <v>4900000</v>
      </c>
      <c r="I404" s="3" t="s">
        <v>29</v>
      </c>
      <c r="J404" s="4">
        <v>10</v>
      </c>
      <c r="K404" s="3" t="s">
        <v>21</v>
      </c>
      <c r="L404" s="4">
        <v>4900000</v>
      </c>
      <c r="M404" s="1">
        <f>O404*J404*K404</f>
        <v>0</v>
      </c>
      <c r="N404" s="3"/>
      <c r="O404" s="2">
        <f>L404/J404*(1-K404)</f>
        <v>490000</v>
      </c>
    </row>
    <row r="405" ht="14.25">
      <c r="A405" s="3" t="s">
        <v>332</v>
      </c>
      <c r="B405" s="3" t="s">
        <v>433</v>
      </c>
      <c r="C405" s="3" t="s">
        <v>445</v>
      </c>
      <c r="D405" s="3" t="s">
        <v>17</v>
      </c>
      <c r="E405" s="3" t="s">
        <v>174</v>
      </c>
      <c r="F405" s="3" t="s">
        <v>19</v>
      </c>
      <c r="G405" s="4">
        <v>0</v>
      </c>
      <c r="H405" s="4">
        <v>4813780</v>
      </c>
      <c r="I405" s="3" t="s">
        <v>446</v>
      </c>
      <c r="J405" s="4">
        <v>5</v>
      </c>
      <c r="K405" s="3" t="s">
        <v>21</v>
      </c>
      <c r="L405" s="4">
        <v>3100000</v>
      </c>
      <c r="M405" s="1">
        <f>O405*J405*K405</f>
        <v>0</v>
      </c>
      <c r="N405" s="3"/>
      <c r="O405" s="2">
        <f>L405/J405*(1-K405)</f>
        <v>620000</v>
      </c>
    </row>
    <row r="406" ht="14.25">
      <c r="A406" s="3" t="s">
        <v>332</v>
      </c>
      <c r="B406" s="3" t="s">
        <v>433</v>
      </c>
      <c r="C406" s="3" t="s">
        <v>445</v>
      </c>
      <c r="D406" s="3" t="s">
        <v>17</v>
      </c>
      <c r="E406" s="3" t="s">
        <v>174</v>
      </c>
      <c r="F406" s="3" t="s">
        <v>19</v>
      </c>
      <c r="G406" s="4">
        <v>0</v>
      </c>
      <c r="H406" s="4">
        <v>4813780</v>
      </c>
      <c r="I406" s="3" t="s">
        <v>447</v>
      </c>
      <c r="J406" s="4">
        <v>12</v>
      </c>
      <c r="K406" s="3" t="s">
        <v>21</v>
      </c>
      <c r="L406" s="4">
        <v>525000</v>
      </c>
      <c r="M406" s="1">
        <f>O406*J406*K406</f>
        <v>0</v>
      </c>
      <c r="N406" s="3"/>
      <c r="O406" s="2">
        <f>L406/J406*(1-K406)</f>
        <v>43750</v>
      </c>
    </row>
    <row r="407" ht="14.25">
      <c r="A407" s="3" t="s">
        <v>332</v>
      </c>
      <c r="B407" s="3" t="s">
        <v>433</v>
      </c>
      <c r="C407" s="3" t="s">
        <v>445</v>
      </c>
      <c r="D407" s="3" t="s">
        <v>17</v>
      </c>
      <c r="E407" s="3" t="s">
        <v>174</v>
      </c>
      <c r="F407" s="3" t="s">
        <v>19</v>
      </c>
      <c r="G407" s="4">
        <v>0</v>
      </c>
      <c r="H407" s="4">
        <v>4813780</v>
      </c>
      <c r="I407" s="3" t="s">
        <v>448</v>
      </c>
      <c r="J407" s="4">
        <v>6</v>
      </c>
      <c r="K407" s="3" t="s">
        <v>21</v>
      </c>
      <c r="L407" s="4">
        <v>228780</v>
      </c>
      <c r="M407" s="1">
        <f>O407*J407*K407</f>
        <v>0</v>
      </c>
      <c r="N407" s="3"/>
      <c r="O407" s="2">
        <f>L407/J407*(1-K407)</f>
        <v>38130</v>
      </c>
    </row>
    <row r="408" ht="14.25">
      <c r="A408" s="3" t="s">
        <v>332</v>
      </c>
      <c r="B408" s="3" t="s">
        <v>433</v>
      </c>
      <c r="C408" s="3" t="s">
        <v>445</v>
      </c>
      <c r="D408" s="3" t="s">
        <v>17</v>
      </c>
      <c r="E408" s="3" t="s">
        <v>174</v>
      </c>
      <c r="F408" s="3" t="s">
        <v>19</v>
      </c>
      <c r="G408" s="4">
        <v>0</v>
      </c>
      <c r="H408" s="4">
        <v>4813780</v>
      </c>
      <c r="I408" s="3" t="s">
        <v>449</v>
      </c>
      <c r="J408" s="4">
        <v>24</v>
      </c>
      <c r="K408" s="3" t="s">
        <v>21</v>
      </c>
      <c r="L408" s="4">
        <v>960000</v>
      </c>
      <c r="M408" s="1">
        <f>O408*J408*K408</f>
        <v>0</v>
      </c>
      <c r="N408" s="3"/>
      <c r="O408" s="2">
        <f>L408/J408*(1-K408)</f>
        <v>40000</v>
      </c>
    </row>
    <row r="409" ht="14.25">
      <c r="A409" s="3" t="s">
        <v>332</v>
      </c>
      <c r="B409" s="3" t="s">
        <v>433</v>
      </c>
      <c r="C409" s="3" t="s">
        <v>450</v>
      </c>
      <c r="D409" s="3" t="s">
        <v>17</v>
      </c>
      <c r="E409" s="3" t="s">
        <v>451</v>
      </c>
      <c r="F409" s="3" t="s">
        <v>19</v>
      </c>
      <c r="G409" s="4">
        <v>0</v>
      </c>
      <c r="H409" s="4">
        <v>23231768</v>
      </c>
      <c r="I409" s="3" t="s">
        <v>86</v>
      </c>
      <c r="J409" s="4">
        <v>1</v>
      </c>
      <c r="K409" s="3" t="s">
        <v>21</v>
      </c>
      <c r="L409" s="4">
        <v>5000000</v>
      </c>
      <c r="M409" s="1">
        <f>O409*J409*K409</f>
        <v>0</v>
      </c>
      <c r="N409" s="3"/>
      <c r="O409" s="2">
        <f>L409/J409*(1-K409)</f>
        <v>5000000</v>
      </c>
    </row>
    <row r="410" ht="14.25">
      <c r="A410" s="3" t="s">
        <v>332</v>
      </c>
      <c r="B410" s="3" t="s">
        <v>433</v>
      </c>
      <c r="C410" s="3" t="s">
        <v>450</v>
      </c>
      <c r="D410" s="3" t="s">
        <v>17</v>
      </c>
      <c r="E410" s="3" t="s">
        <v>451</v>
      </c>
      <c r="F410" s="3" t="s">
        <v>19</v>
      </c>
      <c r="G410" s="4">
        <v>0</v>
      </c>
      <c r="H410" s="4">
        <v>23231768</v>
      </c>
      <c r="I410" s="3" t="s">
        <v>29</v>
      </c>
      <c r="J410" s="4">
        <v>25</v>
      </c>
      <c r="K410" s="3" t="s">
        <v>21</v>
      </c>
      <c r="L410" s="4">
        <v>11750000</v>
      </c>
      <c r="M410" s="1">
        <f>O410*J410*K410</f>
        <v>0</v>
      </c>
      <c r="N410" s="3"/>
      <c r="O410" s="2">
        <f>L410/J410*(1-K410)</f>
        <v>470000</v>
      </c>
    </row>
    <row r="411" ht="14.25">
      <c r="A411" s="3" t="s">
        <v>332</v>
      </c>
      <c r="B411" s="3" t="s">
        <v>433</v>
      </c>
      <c r="C411" s="3" t="s">
        <v>450</v>
      </c>
      <c r="D411" s="3" t="s">
        <v>17</v>
      </c>
      <c r="E411" s="3" t="s">
        <v>451</v>
      </c>
      <c r="F411" s="3" t="s">
        <v>19</v>
      </c>
      <c r="G411" s="4">
        <v>0</v>
      </c>
      <c r="H411" s="4">
        <v>23231768</v>
      </c>
      <c r="I411" s="3" t="s">
        <v>66</v>
      </c>
      <c r="J411" s="4">
        <v>8</v>
      </c>
      <c r="K411" s="3" t="s">
        <v>21</v>
      </c>
      <c r="L411" s="4">
        <v>3279616</v>
      </c>
      <c r="M411" s="1">
        <f>O411*J411*K411</f>
        <v>0</v>
      </c>
      <c r="N411" s="3"/>
      <c r="O411" s="2">
        <f>L411/J411*(1-K411)</f>
        <v>409952</v>
      </c>
    </row>
    <row r="412" ht="14.25">
      <c r="A412" s="3" t="s">
        <v>332</v>
      </c>
      <c r="B412" s="3" t="s">
        <v>433</v>
      </c>
      <c r="C412" s="3" t="s">
        <v>450</v>
      </c>
      <c r="D412" s="3" t="s">
        <v>17</v>
      </c>
      <c r="E412" s="3" t="s">
        <v>451</v>
      </c>
      <c r="F412" s="3" t="s">
        <v>19</v>
      </c>
      <c r="G412" s="4">
        <v>0</v>
      </c>
      <c r="H412" s="4">
        <v>23231768</v>
      </c>
      <c r="I412" s="3" t="s">
        <v>127</v>
      </c>
      <c r="J412" s="4">
        <v>6</v>
      </c>
      <c r="K412" s="3" t="s">
        <v>21</v>
      </c>
      <c r="L412" s="4">
        <v>996360</v>
      </c>
      <c r="M412" s="1">
        <f>O412*J412*K412</f>
        <v>0</v>
      </c>
      <c r="N412" s="3"/>
      <c r="O412" s="2">
        <f>L412/J412*(1-K412)</f>
        <v>166060</v>
      </c>
    </row>
    <row r="413" ht="14.25">
      <c r="A413" s="3" t="s">
        <v>332</v>
      </c>
      <c r="B413" s="3" t="s">
        <v>433</v>
      </c>
      <c r="C413" s="3" t="s">
        <v>450</v>
      </c>
      <c r="D413" s="3" t="s">
        <v>17</v>
      </c>
      <c r="E413" s="3" t="s">
        <v>451</v>
      </c>
      <c r="F413" s="3" t="s">
        <v>19</v>
      </c>
      <c r="G413" s="4">
        <v>0</v>
      </c>
      <c r="H413" s="4">
        <v>23231768</v>
      </c>
      <c r="I413" s="3" t="s">
        <v>185</v>
      </c>
      <c r="J413" s="4">
        <v>6</v>
      </c>
      <c r="K413" s="3" t="s">
        <v>21</v>
      </c>
      <c r="L413" s="4">
        <v>1075296</v>
      </c>
      <c r="M413" s="1">
        <f>O413*J413*K413</f>
        <v>0</v>
      </c>
      <c r="N413" s="3"/>
      <c r="O413" s="2">
        <f>L413/J413*(1-K413)</f>
        <v>179216</v>
      </c>
    </row>
    <row r="414" ht="14.25">
      <c r="A414" s="3" t="s">
        <v>332</v>
      </c>
      <c r="B414" s="3" t="s">
        <v>433</v>
      </c>
      <c r="C414" s="3" t="s">
        <v>450</v>
      </c>
      <c r="D414" s="3" t="s">
        <v>17</v>
      </c>
      <c r="E414" s="3" t="s">
        <v>451</v>
      </c>
      <c r="F414" s="3" t="s">
        <v>19</v>
      </c>
      <c r="G414" s="4">
        <v>0</v>
      </c>
      <c r="H414" s="4">
        <v>23231768</v>
      </c>
      <c r="I414" s="3" t="s">
        <v>452</v>
      </c>
      <c r="J414" s="4">
        <v>6</v>
      </c>
      <c r="K414" s="3" t="s">
        <v>21</v>
      </c>
      <c r="L414" s="4">
        <v>1130496</v>
      </c>
      <c r="M414" s="1">
        <f>O414*J414*K414</f>
        <v>0</v>
      </c>
      <c r="N414" s="3"/>
      <c r="O414" s="2">
        <f>L414/J414*(1-K414)</f>
        <v>188416</v>
      </c>
    </row>
    <row r="415" ht="14.25">
      <c r="A415" s="3" t="s">
        <v>332</v>
      </c>
      <c r="B415" s="3" t="s">
        <v>433</v>
      </c>
      <c r="C415" s="3" t="s">
        <v>453</v>
      </c>
      <c r="D415" s="3" t="s">
        <v>17</v>
      </c>
      <c r="E415" s="3" t="s">
        <v>451</v>
      </c>
      <c r="F415" s="3" t="s">
        <v>19</v>
      </c>
      <c r="G415" s="4">
        <v>0</v>
      </c>
      <c r="H415" s="4">
        <v>18449200</v>
      </c>
      <c r="I415" s="3" t="s">
        <v>454</v>
      </c>
      <c r="J415" s="4">
        <v>180</v>
      </c>
      <c r="K415" s="3" t="s">
        <v>326</v>
      </c>
      <c r="L415" s="4">
        <v>9000000</v>
      </c>
      <c r="M415" s="1">
        <f>O415*J415*K415</f>
        <v>1890000</v>
      </c>
      <c r="N415" s="3"/>
      <c r="O415" s="2">
        <f>L415/J415*(1-K415)</f>
        <v>35000</v>
      </c>
    </row>
    <row r="416" ht="14.25">
      <c r="A416" s="3" t="s">
        <v>332</v>
      </c>
      <c r="B416" s="3" t="s">
        <v>433</v>
      </c>
      <c r="C416" s="3" t="s">
        <v>453</v>
      </c>
      <c r="D416" s="3" t="s">
        <v>17</v>
      </c>
      <c r="E416" s="3" t="s">
        <v>451</v>
      </c>
      <c r="F416" s="3" t="s">
        <v>19</v>
      </c>
      <c r="G416" s="4">
        <v>0</v>
      </c>
      <c r="H416" s="4">
        <v>18449200</v>
      </c>
      <c r="I416" s="3" t="s">
        <v>329</v>
      </c>
      <c r="J416" s="4">
        <v>180</v>
      </c>
      <c r="K416" s="3" t="s">
        <v>326</v>
      </c>
      <c r="L416" s="4">
        <v>9900000</v>
      </c>
      <c r="M416" s="1">
        <f>O416*J416*K416</f>
        <v>2079000</v>
      </c>
      <c r="N416" s="3"/>
      <c r="O416" s="2">
        <f>L416/J416*(1-K416)</f>
        <v>38500</v>
      </c>
    </row>
    <row r="417" ht="14.25">
      <c r="A417" s="3" t="s">
        <v>332</v>
      </c>
      <c r="B417" s="3" t="s">
        <v>433</v>
      </c>
      <c r="C417" s="3" t="s">
        <v>453</v>
      </c>
      <c r="D417" s="3" t="s">
        <v>17</v>
      </c>
      <c r="E417" s="3" t="s">
        <v>451</v>
      </c>
      <c r="F417" s="3" t="s">
        <v>19</v>
      </c>
      <c r="G417" s="4">
        <v>0</v>
      </c>
      <c r="H417" s="4">
        <v>18449200</v>
      </c>
      <c r="I417" s="3" t="s">
        <v>365</v>
      </c>
      <c r="J417" s="4">
        <v>8</v>
      </c>
      <c r="K417" s="3" t="s">
        <v>331</v>
      </c>
      <c r="L417" s="4">
        <v>2400000</v>
      </c>
      <c r="M417" s="1">
        <f>O417*J417*K417</f>
        <v>576000</v>
      </c>
      <c r="N417" s="3"/>
      <c r="O417" s="2">
        <f>L417/J417*(1-K417)</f>
        <v>180000</v>
      </c>
    </row>
    <row r="418" ht="14.25">
      <c r="A418" s="3" t="s">
        <v>332</v>
      </c>
      <c r="B418" s="3" t="s">
        <v>433</v>
      </c>
      <c r="C418" s="3" t="s">
        <v>453</v>
      </c>
      <c r="D418" s="3" t="s">
        <v>17</v>
      </c>
      <c r="E418" s="3" t="s">
        <v>451</v>
      </c>
      <c r="F418" s="3" t="s">
        <v>19</v>
      </c>
      <c r="G418" s="4">
        <v>0</v>
      </c>
      <c r="H418" s="4">
        <v>18449200</v>
      </c>
      <c r="I418" s="3" t="s">
        <v>330</v>
      </c>
      <c r="J418" s="4">
        <v>48</v>
      </c>
      <c r="K418" s="3" t="s">
        <v>331</v>
      </c>
      <c r="L418" s="4">
        <v>672000</v>
      </c>
      <c r="M418" s="1">
        <f>O418*J418*K418</f>
        <v>161280</v>
      </c>
      <c r="N418" s="3"/>
      <c r="O418" s="2">
        <f>L418/J418*(1-K418)</f>
        <v>8400</v>
      </c>
    </row>
    <row r="419" ht="14.25">
      <c r="A419" s="3" t="s">
        <v>332</v>
      </c>
      <c r="B419" s="3" t="s">
        <v>433</v>
      </c>
      <c r="C419" s="3" t="s">
        <v>453</v>
      </c>
      <c r="D419" s="3" t="s">
        <v>17</v>
      </c>
      <c r="E419" s="3" t="s">
        <v>451</v>
      </c>
      <c r="F419" s="3" t="s">
        <v>19</v>
      </c>
      <c r="G419" s="4">
        <v>0</v>
      </c>
      <c r="H419" s="4">
        <v>18449200</v>
      </c>
      <c r="I419" s="3" t="s">
        <v>171</v>
      </c>
      <c r="J419" s="4">
        <v>1</v>
      </c>
      <c r="K419" s="3" t="s">
        <v>455</v>
      </c>
      <c r="L419" s="4">
        <v>5870000</v>
      </c>
      <c r="M419" s="1">
        <f>O419*J419*K419</f>
        <v>939200</v>
      </c>
      <c r="N419" s="3"/>
      <c r="O419" s="2">
        <f>L419/J419*(1-K419)</f>
        <v>4696000</v>
      </c>
    </row>
    <row r="420" ht="14.25">
      <c r="A420" s="3" t="s">
        <v>332</v>
      </c>
      <c r="B420" s="3" t="s">
        <v>157</v>
      </c>
      <c r="C420" s="3" t="s">
        <v>456</v>
      </c>
      <c r="D420" s="3" t="s">
        <v>17</v>
      </c>
      <c r="E420" s="3" t="s">
        <v>99</v>
      </c>
      <c r="F420" s="3" t="s">
        <v>19</v>
      </c>
      <c r="G420" s="4">
        <v>0</v>
      </c>
      <c r="H420" s="4">
        <v>11182080</v>
      </c>
      <c r="I420" s="3" t="s">
        <v>452</v>
      </c>
      <c r="J420" s="4">
        <v>60</v>
      </c>
      <c r="K420" s="3" t="s">
        <v>21</v>
      </c>
      <c r="L420" s="4">
        <v>11182080</v>
      </c>
      <c r="M420" s="1">
        <f>O420*J420*K420</f>
        <v>0</v>
      </c>
      <c r="N420" s="3"/>
      <c r="O420" s="2">
        <f>L420/J420*(1-K420)</f>
        <v>186368</v>
      </c>
    </row>
    <row r="421" ht="14.25">
      <c r="A421" s="3" t="s">
        <v>344</v>
      </c>
      <c r="B421" s="3" t="s">
        <v>457</v>
      </c>
      <c r="C421" s="3" t="s">
        <v>458</v>
      </c>
      <c r="D421" s="3" t="s">
        <v>17</v>
      </c>
      <c r="E421" s="3" t="s">
        <v>34</v>
      </c>
      <c r="F421" s="3" t="s">
        <v>19</v>
      </c>
      <c r="G421" s="4">
        <v>0</v>
      </c>
      <c r="H421" s="4">
        <v>30151462</v>
      </c>
      <c r="I421" s="3" t="s">
        <v>283</v>
      </c>
      <c r="J421" s="4">
        <v>4</v>
      </c>
      <c r="K421" s="3" t="s">
        <v>21</v>
      </c>
      <c r="L421" s="4">
        <v>5520000</v>
      </c>
      <c r="M421" s="1">
        <f>O421*J421*K421</f>
        <v>0</v>
      </c>
      <c r="N421" s="3"/>
      <c r="O421" s="2">
        <f>L421/J421*(1-K421)</f>
        <v>1380000</v>
      </c>
    </row>
    <row r="422" ht="14.25">
      <c r="A422" s="3" t="s">
        <v>344</v>
      </c>
      <c r="B422" s="3" t="s">
        <v>457</v>
      </c>
      <c r="C422" s="3" t="s">
        <v>458</v>
      </c>
      <c r="D422" s="3" t="s">
        <v>17</v>
      </c>
      <c r="E422" s="3" t="s">
        <v>34</v>
      </c>
      <c r="F422" s="3" t="s">
        <v>19</v>
      </c>
      <c r="G422" s="4">
        <v>0</v>
      </c>
      <c r="H422" s="4">
        <v>30151462</v>
      </c>
      <c r="I422" s="3" t="s">
        <v>39</v>
      </c>
      <c r="J422" s="4">
        <v>4</v>
      </c>
      <c r="K422" s="3" t="s">
        <v>21</v>
      </c>
      <c r="L422" s="4">
        <v>12800000</v>
      </c>
      <c r="M422" s="1">
        <f>O422*J422*K422</f>
        <v>0</v>
      </c>
      <c r="N422" s="3"/>
      <c r="O422" s="2">
        <f>L422/J422*(1-K422)</f>
        <v>3200000</v>
      </c>
    </row>
    <row r="423" ht="14.25">
      <c r="A423" s="3" t="s">
        <v>344</v>
      </c>
      <c r="B423" s="3" t="s">
        <v>457</v>
      </c>
      <c r="C423" s="3" t="s">
        <v>458</v>
      </c>
      <c r="D423" s="3" t="s">
        <v>17</v>
      </c>
      <c r="E423" s="3" t="s">
        <v>34</v>
      </c>
      <c r="F423" s="3" t="s">
        <v>19</v>
      </c>
      <c r="G423" s="4">
        <v>0</v>
      </c>
      <c r="H423" s="4">
        <v>30151462</v>
      </c>
      <c r="I423" s="3" t="s">
        <v>121</v>
      </c>
      <c r="J423" s="4">
        <v>1</v>
      </c>
      <c r="K423" s="3" t="s">
        <v>21</v>
      </c>
      <c r="L423" s="4">
        <v>3200000</v>
      </c>
      <c r="M423" s="1">
        <f>O423*J423*K423</f>
        <v>0</v>
      </c>
      <c r="N423" s="3"/>
      <c r="O423" s="2">
        <f>L423/J423*(1-K423)</f>
        <v>3200000</v>
      </c>
    </row>
    <row r="424" ht="14.25">
      <c r="A424" s="3" t="s">
        <v>344</v>
      </c>
      <c r="B424" s="3" t="s">
        <v>457</v>
      </c>
      <c r="C424" s="3" t="s">
        <v>458</v>
      </c>
      <c r="D424" s="3" t="s">
        <v>17</v>
      </c>
      <c r="E424" s="3" t="s">
        <v>34</v>
      </c>
      <c r="F424" s="3" t="s">
        <v>19</v>
      </c>
      <c r="G424" s="4">
        <v>0</v>
      </c>
      <c r="H424" s="4">
        <v>30151462</v>
      </c>
      <c r="I424" s="3" t="s">
        <v>79</v>
      </c>
      <c r="J424" s="4">
        <v>2</v>
      </c>
      <c r="K424" s="3" t="s">
        <v>21</v>
      </c>
      <c r="L424" s="4">
        <v>1300000</v>
      </c>
      <c r="M424" s="1">
        <f>O424*J424*K424</f>
        <v>0</v>
      </c>
      <c r="N424" s="3"/>
      <c r="O424" s="2">
        <f>L424/J424*(1-K424)</f>
        <v>650000</v>
      </c>
    </row>
    <row r="425" ht="14.25">
      <c r="A425" s="3" t="s">
        <v>344</v>
      </c>
      <c r="B425" s="3" t="s">
        <v>457</v>
      </c>
      <c r="C425" s="3" t="s">
        <v>458</v>
      </c>
      <c r="D425" s="3" t="s">
        <v>17</v>
      </c>
      <c r="E425" s="3" t="s">
        <v>34</v>
      </c>
      <c r="F425" s="3" t="s">
        <v>19</v>
      </c>
      <c r="G425" s="4">
        <v>0</v>
      </c>
      <c r="H425" s="4">
        <v>30151462</v>
      </c>
      <c r="I425" s="3" t="s">
        <v>120</v>
      </c>
      <c r="J425" s="4">
        <v>10</v>
      </c>
      <c r="K425" s="3" t="s">
        <v>21</v>
      </c>
      <c r="L425" s="4">
        <v>2200000</v>
      </c>
      <c r="M425" s="1">
        <f>O425*J425*K425</f>
        <v>0</v>
      </c>
      <c r="N425" s="3"/>
      <c r="O425" s="2">
        <f>L425/J425*(1-K425)</f>
        <v>220000</v>
      </c>
    </row>
    <row r="426" ht="14.25">
      <c r="A426" s="3" t="s">
        <v>344</v>
      </c>
      <c r="B426" s="3" t="s">
        <v>457</v>
      </c>
      <c r="C426" s="3" t="s">
        <v>458</v>
      </c>
      <c r="D426" s="3" t="s">
        <v>17</v>
      </c>
      <c r="E426" s="3" t="s">
        <v>34</v>
      </c>
      <c r="F426" s="3" t="s">
        <v>19</v>
      </c>
      <c r="G426" s="4">
        <v>0</v>
      </c>
      <c r="H426" s="4">
        <v>30151462</v>
      </c>
      <c r="I426" s="3" t="s">
        <v>126</v>
      </c>
      <c r="J426" s="4">
        <v>4</v>
      </c>
      <c r="K426" s="3" t="s">
        <v>21</v>
      </c>
      <c r="L426" s="4">
        <v>940440</v>
      </c>
      <c r="M426" s="1">
        <f>O426*J426*K426</f>
        <v>0</v>
      </c>
      <c r="N426" s="3"/>
      <c r="O426" s="2">
        <f>L426/J426*(1-K426)</f>
        <v>235110</v>
      </c>
    </row>
    <row r="427" ht="14.25">
      <c r="A427" s="3" t="s">
        <v>344</v>
      </c>
      <c r="B427" s="3" t="s">
        <v>457</v>
      </c>
      <c r="C427" s="3" t="s">
        <v>458</v>
      </c>
      <c r="D427" s="3" t="s">
        <v>17</v>
      </c>
      <c r="E427" s="3" t="s">
        <v>34</v>
      </c>
      <c r="F427" s="3" t="s">
        <v>19</v>
      </c>
      <c r="G427" s="4">
        <v>0</v>
      </c>
      <c r="H427" s="4">
        <v>30151462</v>
      </c>
      <c r="I427" s="3" t="s">
        <v>188</v>
      </c>
      <c r="J427" s="4">
        <v>4</v>
      </c>
      <c r="K427" s="3" t="s">
        <v>21</v>
      </c>
      <c r="L427" s="4">
        <v>987360</v>
      </c>
      <c r="M427" s="1">
        <f>O427*J427*K427</f>
        <v>0</v>
      </c>
      <c r="N427" s="3"/>
      <c r="O427" s="2">
        <f>L427/J427*(1-K427)</f>
        <v>246840</v>
      </c>
    </row>
    <row r="428" ht="14.25">
      <c r="A428" s="3" t="s">
        <v>344</v>
      </c>
      <c r="B428" s="3" t="s">
        <v>457</v>
      </c>
      <c r="C428" s="3" t="s">
        <v>458</v>
      </c>
      <c r="D428" s="3" t="s">
        <v>17</v>
      </c>
      <c r="E428" s="3" t="s">
        <v>34</v>
      </c>
      <c r="F428" s="3" t="s">
        <v>19</v>
      </c>
      <c r="G428" s="4">
        <v>0</v>
      </c>
      <c r="H428" s="4">
        <v>30151462</v>
      </c>
      <c r="I428" s="3" t="s">
        <v>125</v>
      </c>
      <c r="J428" s="4">
        <v>3</v>
      </c>
      <c r="K428" s="3" t="s">
        <v>21</v>
      </c>
      <c r="L428" s="4">
        <v>739662</v>
      </c>
      <c r="M428" s="1">
        <f>O428*J428*K428</f>
        <v>0</v>
      </c>
      <c r="N428" s="3"/>
      <c r="O428" s="2">
        <f>L428/J428*(1-K428)</f>
        <v>246554</v>
      </c>
    </row>
    <row r="429" ht="14.25">
      <c r="A429" s="3" t="s">
        <v>344</v>
      </c>
      <c r="B429" s="3" t="s">
        <v>457</v>
      </c>
      <c r="C429" s="3" t="s">
        <v>458</v>
      </c>
      <c r="D429" s="3" t="s">
        <v>17</v>
      </c>
      <c r="E429" s="3" t="s">
        <v>34</v>
      </c>
      <c r="F429" s="3" t="s">
        <v>19</v>
      </c>
      <c r="G429" s="4">
        <v>0</v>
      </c>
      <c r="H429" s="4">
        <v>30151462</v>
      </c>
      <c r="I429" s="3" t="s">
        <v>459</v>
      </c>
      <c r="J429" s="4">
        <v>64</v>
      </c>
      <c r="K429" s="3" t="s">
        <v>21</v>
      </c>
      <c r="L429" s="4">
        <v>2464000</v>
      </c>
      <c r="M429" s="1">
        <f>O429*J429*K429</f>
        <v>0</v>
      </c>
      <c r="N429" s="3"/>
      <c r="O429" s="2">
        <f>L429/J429*(1-K429)</f>
        <v>38500</v>
      </c>
    </row>
    <row r="430" ht="14.25">
      <c r="A430" s="3" t="s">
        <v>344</v>
      </c>
      <c r="B430" s="3" t="s">
        <v>460</v>
      </c>
      <c r="C430" s="3" t="s">
        <v>461</v>
      </c>
      <c r="D430" s="3" t="s">
        <v>17</v>
      </c>
      <c r="E430" s="3" t="s">
        <v>462</v>
      </c>
      <c r="F430" s="3" t="s">
        <v>19</v>
      </c>
      <c r="G430" s="4">
        <v>0</v>
      </c>
      <c r="H430" s="4">
        <v>5870000</v>
      </c>
      <c r="I430" s="3" t="s">
        <v>171</v>
      </c>
      <c r="J430" s="4">
        <v>1</v>
      </c>
      <c r="K430" s="3" t="s">
        <v>21</v>
      </c>
      <c r="L430" s="4">
        <v>5870000</v>
      </c>
      <c r="M430" s="1">
        <f>O430*J430*K430</f>
        <v>0</v>
      </c>
      <c r="N430" s="3"/>
      <c r="O430" s="2">
        <f>L430/J430*(1-K430)</f>
        <v>5870000</v>
      </c>
    </row>
    <row r="431" ht="14.25">
      <c r="A431" s="3" t="s">
        <v>344</v>
      </c>
      <c r="B431" s="3" t="s">
        <v>457</v>
      </c>
      <c r="C431" s="3" t="s">
        <v>463</v>
      </c>
      <c r="D431" s="3" t="s">
        <v>17</v>
      </c>
      <c r="E431" s="3" t="s">
        <v>464</v>
      </c>
      <c r="F431" s="3" t="s">
        <v>19</v>
      </c>
      <c r="G431" s="4">
        <v>0</v>
      </c>
      <c r="H431" s="4">
        <v>16500000</v>
      </c>
      <c r="I431" s="3" t="s">
        <v>465</v>
      </c>
      <c r="J431" s="4">
        <v>3</v>
      </c>
      <c r="K431" s="3" t="s">
        <v>21</v>
      </c>
      <c r="L431" s="4">
        <v>16500000</v>
      </c>
      <c r="M431" s="1">
        <f>O431*J431*K431</f>
        <v>0</v>
      </c>
      <c r="N431" s="3"/>
      <c r="O431" s="2">
        <f>L431/J431*(1-K431)</f>
        <v>5500000</v>
      </c>
    </row>
    <row r="432" ht="14.25">
      <c r="A432" s="3" t="s">
        <v>344</v>
      </c>
      <c r="B432" s="3" t="s">
        <v>460</v>
      </c>
      <c r="C432" s="3" t="s">
        <v>466</v>
      </c>
      <c r="D432" s="3" t="s">
        <v>17</v>
      </c>
      <c r="E432" s="3" t="s">
        <v>168</v>
      </c>
      <c r="F432" s="3" t="s">
        <v>19</v>
      </c>
      <c r="G432" s="4">
        <v>0</v>
      </c>
      <c r="H432" s="4">
        <v>10654000</v>
      </c>
      <c r="I432" s="3" t="s">
        <v>467</v>
      </c>
      <c r="J432" s="4">
        <v>40</v>
      </c>
      <c r="K432" s="3" t="s">
        <v>21</v>
      </c>
      <c r="L432" s="4">
        <v>1340000</v>
      </c>
      <c r="M432" s="1">
        <f>O432*J432*K432</f>
        <v>0</v>
      </c>
      <c r="N432" s="3"/>
      <c r="O432" s="2">
        <f>L432/J432*(1-K432)</f>
        <v>33500</v>
      </c>
    </row>
    <row r="433" ht="14.25">
      <c r="A433" s="3" t="s">
        <v>344</v>
      </c>
      <c r="B433" s="3" t="s">
        <v>460</v>
      </c>
      <c r="C433" s="3" t="s">
        <v>466</v>
      </c>
      <c r="D433" s="3" t="s">
        <v>17</v>
      </c>
      <c r="E433" s="3" t="s">
        <v>168</v>
      </c>
      <c r="F433" s="3" t="s">
        <v>19</v>
      </c>
      <c r="G433" s="4">
        <v>0</v>
      </c>
      <c r="H433" s="4">
        <v>10654000</v>
      </c>
      <c r="I433" s="3" t="s">
        <v>56</v>
      </c>
      <c r="J433" s="4">
        <v>32</v>
      </c>
      <c r="K433" s="3" t="s">
        <v>21</v>
      </c>
      <c r="L433" s="4">
        <v>4960000</v>
      </c>
      <c r="M433" s="1">
        <f>O433*J433*K433</f>
        <v>0</v>
      </c>
      <c r="N433" s="3"/>
      <c r="O433" s="2">
        <f>L433/J433*(1-K433)</f>
        <v>155000</v>
      </c>
    </row>
    <row r="434" ht="14.25">
      <c r="A434" s="3" t="s">
        <v>344</v>
      </c>
      <c r="B434" s="3" t="s">
        <v>460</v>
      </c>
      <c r="C434" s="3" t="s">
        <v>466</v>
      </c>
      <c r="D434" s="3" t="s">
        <v>17</v>
      </c>
      <c r="E434" s="3" t="s">
        <v>168</v>
      </c>
      <c r="F434" s="3" t="s">
        <v>19</v>
      </c>
      <c r="G434" s="4">
        <v>0</v>
      </c>
      <c r="H434" s="4">
        <v>10654000</v>
      </c>
      <c r="I434" s="3" t="s">
        <v>399</v>
      </c>
      <c r="J434" s="4">
        <v>4</v>
      </c>
      <c r="K434" s="3" t="s">
        <v>21</v>
      </c>
      <c r="L434" s="4">
        <v>1240000</v>
      </c>
      <c r="M434" s="1">
        <f>O434*J434*K434</f>
        <v>0</v>
      </c>
      <c r="N434" s="3"/>
      <c r="O434" s="2">
        <f>L434/J434*(1-K434)</f>
        <v>310000</v>
      </c>
    </row>
    <row r="435" ht="14.25">
      <c r="A435" s="3" t="s">
        <v>344</v>
      </c>
      <c r="B435" s="3" t="s">
        <v>460</v>
      </c>
      <c r="C435" s="3" t="s">
        <v>466</v>
      </c>
      <c r="D435" s="3" t="s">
        <v>17</v>
      </c>
      <c r="E435" s="3" t="s">
        <v>168</v>
      </c>
      <c r="F435" s="3" t="s">
        <v>19</v>
      </c>
      <c r="G435" s="4">
        <v>0</v>
      </c>
      <c r="H435" s="4">
        <v>10654000</v>
      </c>
      <c r="I435" s="3" t="s">
        <v>395</v>
      </c>
      <c r="J435" s="4">
        <v>18</v>
      </c>
      <c r="K435" s="3" t="s">
        <v>21</v>
      </c>
      <c r="L435" s="4">
        <v>2250000</v>
      </c>
      <c r="M435" s="1">
        <f>O435*J435*K435</f>
        <v>0</v>
      </c>
      <c r="N435" s="3"/>
      <c r="O435" s="2">
        <f>L435/J435*(1-K435)</f>
        <v>125000</v>
      </c>
    </row>
    <row r="436" ht="14.25">
      <c r="A436" s="3" t="s">
        <v>344</v>
      </c>
      <c r="B436" s="3" t="s">
        <v>460</v>
      </c>
      <c r="C436" s="3" t="s">
        <v>466</v>
      </c>
      <c r="D436" s="3" t="s">
        <v>17</v>
      </c>
      <c r="E436" s="3" t="s">
        <v>168</v>
      </c>
      <c r="F436" s="3" t="s">
        <v>19</v>
      </c>
      <c r="G436" s="4">
        <v>0</v>
      </c>
      <c r="H436" s="4">
        <v>10654000</v>
      </c>
      <c r="I436" s="3" t="s">
        <v>415</v>
      </c>
      <c r="J436" s="4">
        <v>24</v>
      </c>
      <c r="K436" s="3" t="s">
        <v>21</v>
      </c>
      <c r="L436" s="4">
        <v>864000</v>
      </c>
      <c r="M436" s="1">
        <f>O436*J436*K436</f>
        <v>0</v>
      </c>
      <c r="N436" s="3"/>
      <c r="O436" s="2">
        <f>L436/J436*(1-K436)</f>
        <v>36000</v>
      </c>
    </row>
    <row r="437" ht="14.25">
      <c r="A437" s="3" t="s">
        <v>344</v>
      </c>
      <c r="B437" s="3" t="s">
        <v>457</v>
      </c>
      <c r="C437" s="3" t="s">
        <v>468</v>
      </c>
      <c r="D437" s="3" t="s">
        <v>17</v>
      </c>
      <c r="E437" s="3" t="s">
        <v>360</v>
      </c>
      <c r="F437" s="3" t="s">
        <v>19</v>
      </c>
      <c r="G437" s="4">
        <v>0</v>
      </c>
      <c r="H437" s="4">
        <v>660000</v>
      </c>
      <c r="I437" s="3" t="s">
        <v>469</v>
      </c>
      <c r="J437" s="4">
        <v>48</v>
      </c>
      <c r="K437" s="3" t="s">
        <v>21</v>
      </c>
      <c r="L437" s="4">
        <v>660000</v>
      </c>
      <c r="M437" s="1">
        <f>O437*J437*K437</f>
        <v>0</v>
      </c>
      <c r="N437" s="3"/>
      <c r="O437" s="2">
        <f>L437/J437*(1-K437)</f>
        <v>13750</v>
      </c>
    </row>
    <row r="438" ht="14.25">
      <c r="A438" s="3" t="s">
        <v>344</v>
      </c>
      <c r="B438" s="3" t="s">
        <v>457</v>
      </c>
      <c r="C438" s="3" t="s">
        <v>470</v>
      </c>
      <c r="D438" s="3" t="s">
        <v>17</v>
      </c>
      <c r="E438" s="3" t="s">
        <v>360</v>
      </c>
      <c r="F438" s="3" t="s">
        <v>19</v>
      </c>
      <c r="G438" s="4">
        <v>0</v>
      </c>
      <c r="H438" s="4">
        <v>192000</v>
      </c>
      <c r="I438" s="3" t="s">
        <v>471</v>
      </c>
      <c r="J438" s="4">
        <v>48</v>
      </c>
      <c r="K438" s="3" t="s">
        <v>21</v>
      </c>
      <c r="L438" s="4">
        <v>192000</v>
      </c>
      <c r="M438" s="1">
        <f>O438*J438*K438</f>
        <v>0</v>
      </c>
      <c r="N438" s="3"/>
      <c r="O438" s="2">
        <f>L438/J438*(1-K438)</f>
        <v>4000</v>
      </c>
    </row>
    <row r="439" ht="14.25">
      <c r="A439" s="3" t="s">
        <v>344</v>
      </c>
      <c r="B439" s="3" t="s">
        <v>460</v>
      </c>
      <c r="C439" s="3" t="s">
        <v>472</v>
      </c>
      <c r="D439" s="3" t="s">
        <v>17</v>
      </c>
      <c r="E439" s="3" t="s">
        <v>473</v>
      </c>
      <c r="F439" s="3" t="s">
        <v>19</v>
      </c>
      <c r="G439" s="4">
        <v>0</v>
      </c>
      <c r="H439" s="4">
        <v>8949000</v>
      </c>
      <c r="I439" s="3" t="s">
        <v>474</v>
      </c>
      <c r="J439" s="4">
        <v>6</v>
      </c>
      <c r="K439" s="3" t="s">
        <v>21</v>
      </c>
      <c r="L439" s="4">
        <v>2280000</v>
      </c>
      <c r="M439" s="1">
        <f>O439*J439*K439</f>
        <v>0</v>
      </c>
      <c r="N439" s="3"/>
      <c r="O439" s="2">
        <f>L439/J439*(1-K439)</f>
        <v>380000</v>
      </c>
    </row>
    <row r="440" ht="14.25">
      <c r="A440" s="3" t="s">
        <v>344</v>
      </c>
      <c r="B440" s="3" t="s">
        <v>460</v>
      </c>
      <c r="C440" s="3" t="s">
        <v>472</v>
      </c>
      <c r="D440" s="3" t="s">
        <v>17</v>
      </c>
      <c r="E440" s="3" t="s">
        <v>473</v>
      </c>
      <c r="F440" s="3" t="s">
        <v>19</v>
      </c>
      <c r="G440" s="4">
        <v>0</v>
      </c>
      <c r="H440" s="4">
        <v>8949000</v>
      </c>
      <c r="I440" s="3" t="s">
        <v>475</v>
      </c>
      <c r="J440" s="4">
        <v>20</v>
      </c>
      <c r="K440" s="3" t="s">
        <v>21</v>
      </c>
      <c r="L440" s="4">
        <v>800000</v>
      </c>
      <c r="M440" s="1">
        <f>O440*J440*K440</f>
        <v>0</v>
      </c>
      <c r="N440" s="3"/>
      <c r="O440" s="2">
        <f>L440/J440*(1-K440)</f>
        <v>40000</v>
      </c>
    </row>
    <row r="441" ht="14.25">
      <c r="A441" s="3" t="s">
        <v>344</v>
      </c>
      <c r="B441" s="3" t="s">
        <v>460</v>
      </c>
      <c r="C441" s="3" t="s">
        <v>472</v>
      </c>
      <c r="D441" s="3" t="s">
        <v>17</v>
      </c>
      <c r="E441" s="3" t="s">
        <v>473</v>
      </c>
      <c r="F441" s="3" t="s">
        <v>19</v>
      </c>
      <c r="G441" s="4">
        <v>0</v>
      </c>
      <c r="H441" s="4">
        <v>8949000</v>
      </c>
      <c r="I441" s="3" t="s">
        <v>125</v>
      </c>
      <c r="J441" s="4">
        <v>3</v>
      </c>
      <c r="K441" s="3" t="s">
        <v>21</v>
      </c>
      <c r="L441" s="4">
        <v>765000</v>
      </c>
      <c r="M441" s="1">
        <f>O441*J441*K441</f>
        <v>0</v>
      </c>
      <c r="N441" s="3"/>
      <c r="O441" s="2">
        <f>L441/J441*(1-K441)</f>
        <v>255000</v>
      </c>
    </row>
    <row r="442" ht="14.25">
      <c r="A442" s="3" t="s">
        <v>344</v>
      </c>
      <c r="B442" s="3" t="s">
        <v>460</v>
      </c>
      <c r="C442" s="3" t="s">
        <v>472</v>
      </c>
      <c r="D442" s="3" t="s">
        <v>17</v>
      </c>
      <c r="E442" s="3" t="s">
        <v>473</v>
      </c>
      <c r="F442" s="3" t="s">
        <v>19</v>
      </c>
      <c r="G442" s="4">
        <v>0</v>
      </c>
      <c r="H442" s="4">
        <v>8949000</v>
      </c>
      <c r="I442" s="3" t="s">
        <v>47</v>
      </c>
      <c r="J442" s="4">
        <v>24</v>
      </c>
      <c r="K442" s="3" t="s">
        <v>21</v>
      </c>
      <c r="L442" s="4">
        <v>864000</v>
      </c>
      <c r="M442" s="1">
        <f>O442*J442*K442</f>
        <v>0</v>
      </c>
      <c r="N442" s="3"/>
      <c r="O442" s="2">
        <f>L442/J442*(1-K442)</f>
        <v>36000</v>
      </c>
    </row>
    <row r="443" ht="14.25">
      <c r="A443" s="3" t="s">
        <v>344</v>
      </c>
      <c r="B443" s="3" t="s">
        <v>460</v>
      </c>
      <c r="C443" s="3" t="s">
        <v>472</v>
      </c>
      <c r="D443" s="3" t="s">
        <v>17</v>
      </c>
      <c r="E443" s="3" t="s">
        <v>473</v>
      </c>
      <c r="F443" s="3" t="s">
        <v>19</v>
      </c>
      <c r="G443" s="4">
        <v>0</v>
      </c>
      <c r="H443" s="4">
        <v>8949000</v>
      </c>
      <c r="I443" s="3" t="s">
        <v>111</v>
      </c>
      <c r="J443" s="4">
        <v>24</v>
      </c>
      <c r="K443" s="3" t="s">
        <v>21</v>
      </c>
      <c r="L443" s="4">
        <v>840000</v>
      </c>
      <c r="M443" s="1">
        <f>O443*J443*K443</f>
        <v>0</v>
      </c>
      <c r="N443" s="3"/>
      <c r="O443" s="2">
        <f>L443/J443*(1-K443)</f>
        <v>35000</v>
      </c>
    </row>
    <row r="444" ht="14.25">
      <c r="A444" s="3" t="s">
        <v>344</v>
      </c>
      <c r="B444" s="3" t="s">
        <v>460</v>
      </c>
      <c r="C444" s="3" t="s">
        <v>472</v>
      </c>
      <c r="D444" s="3" t="s">
        <v>17</v>
      </c>
      <c r="E444" s="3" t="s">
        <v>473</v>
      </c>
      <c r="F444" s="3" t="s">
        <v>19</v>
      </c>
      <c r="G444" s="4">
        <v>0</v>
      </c>
      <c r="H444" s="4">
        <v>8949000</v>
      </c>
      <c r="I444" s="3" t="s">
        <v>29</v>
      </c>
      <c r="J444" s="4">
        <v>2</v>
      </c>
      <c r="K444" s="3" t="s">
        <v>21</v>
      </c>
      <c r="L444" s="4">
        <v>1000000</v>
      </c>
      <c r="M444" s="1">
        <f>O444*J444*K444</f>
        <v>0</v>
      </c>
      <c r="N444" s="3"/>
      <c r="O444" s="2">
        <f>L444/J444*(1-K444)</f>
        <v>500000</v>
      </c>
    </row>
    <row r="445" ht="14.25">
      <c r="A445" s="3" t="s">
        <v>344</v>
      </c>
      <c r="B445" s="3" t="s">
        <v>460</v>
      </c>
      <c r="C445" s="3" t="s">
        <v>472</v>
      </c>
      <c r="D445" s="3" t="s">
        <v>17</v>
      </c>
      <c r="E445" s="3" t="s">
        <v>473</v>
      </c>
      <c r="F445" s="3" t="s">
        <v>19</v>
      </c>
      <c r="G445" s="4">
        <v>0</v>
      </c>
      <c r="H445" s="4">
        <v>8949000</v>
      </c>
      <c r="I445" s="3" t="s">
        <v>382</v>
      </c>
      <c r="J445" s="4">
        <v>5</v>
      </c>
      <c r="K445" s="3" t="s">
        <v>21</v>
      </c>
      <c r="L445" s="4">
        <v>1200000</v>
      </c>
      <c r="M445" s="1">
        <f>O445*J445*K445</f>
        <v>0</v>
      </c>
      <c r="N445" s="3"/>
      <c r="O445" s="2">
        <f>L445/J445*(1-K445)</f>
        <v>240000</v>
      </c>
    </row>
    <row r="446" ht="14.25">
      <c r="A446" s="3" t="s">
        <v>344</v>
      </c>
      <c r="B446" s="3" t="s">
        <v>460</v>
      </c>
      <c r="C446" s="3" t="s">
        <v>472</v>
      </c>
      <c r="D446" s="3" t="s">
        <v>17</v>
      </c>
      <c r="E446" s="3" t="s">
        <v>473</v>
      </c>
      <c r="F446" s="3" t="s">
        <v>19</v>
      </c>
      <c r="G446" s="4">
        <v>0</v>
      </c>
      <c r="H446" s="4">
        <v>8949000</v>
      </c>
      <c r="I446" s="3" t="s">
        <v>120</v>
      </c>
      <c r="J446" s="4">
        <v>5</v>
      </c>
      <c r="K446" s="3" t="s">
        <v>21</v>
      </c>
      <c r="L446" s="4">
        <v>1200000</v>
      </c>
      <c r="M446" s="1">
        <f>O446*J446*K446</f>
        <v>0</v>
      </c>
      <c r="N446" s="3"/>
      <c r="O446" s="2">
        <f>L446/J446*(1-K446)</f>
        <v>240000</v>
      </c>
    </row>
    <row r="447" ht="14.25">
      <c r="A447" s="3" t="s">
        <v>344</v>
      </c>
      <c r="B447" s="3" t="s">
        <v>460</v>
      </c>
      <c r="C447" s="3" t="s">
        <v>476</v>
      </c>
      <c r="D447" s="3" t="s">
        <v>17</v>
      </c>
      <c r="E447" s="3" t="s">
        <v>477</v>
      </c>
      <c r="F447" s="3" t="s">
        <v>19</v>
      </c>
      <c r="G447" s="4">
        <v>0</v>
      </c>
      <c r="H447" s="4">
        <v>4900000</v>
      </c>
      <c r="I447" s="3" t="s">
        <v>478</v>
      </c>
      <c r="J447" s="4">
        <v>5</v>
      </c>
      <c r="K447" s="3" t="s">
        <v>21</v>
      </c>
      <c r="L447" s="4">
        <v>3500000</v>
      </c>
      <c r="M447" s="1">
        <f>O447*J447*K447</f>
        <v>0</v>
      </c>
      <c r="N447" s="3"/>
      <c r="O447" s="2">
        <f>L447/J447*(1-K447)</f>
        <v>700000</v>
      </c>
    </row>
    <row r="448" ht="14.25">
      <c r="A448" s="3" t="s">
        <v>344</v>
      </c>
      <c r="B448" s="3" t="s">
        <v>460</v>
      </c>
      <c r="C448" s="3" t="s">
        <v>476</v>
      </c>
      <c r="D448" s="3" t="s">
        <v>17</v>
      </c>
      <c r="E448" s="3" t="s">
        <v>477</v>
      </c>
      <c r="F448" s="3" t="s">
        <v>19</v>
      </c>
      <c r="G448" s="4">
        <v>0</v>
      </c>
      <c r="H448" s="4">
        <v>4900000</v>
      </c>
      <c r="I448" s="3" t="s">
        <v>409</v>
      </c>
      <c r="J448" s="4">
        <v>2</v>
      </c>
      <c r="K448" s="3" t="s">
        <v>21</v>
      </c>
      <c r="L448" s="4">
        <v>1400000</v>
      </c>
      <c r="M448" s="1">
        <f>O448*J448*K448</f>
        <v>0</v>
      </c>
      <c r="N448" s="3"/>
      <c r="O448" s="2">
        <f>L448/J448*(1-K448)</f>
        <v>700000</v>
      </c>
    </row>
    <row r="449" ht="14.25">
      <c r="A449" s="3" t="s">
        <v>344</v>
      </c>
      <c r="B449" s="3" t="s">
        <v>460</v>
      </c>
      <c r="C449" s="3" t="s">
        <v>479</v>
      </c>
      <c r="D449" s="3" t="s">
        <v>17</v>
      </c>
      <c r="E449" s="3" t="s">
        <v>480</v>
      </c>
      <c r="F449" s="3" t="s">
        <v>19</v>
      </c>
      <c r="G449" s="4">
        <v>0</v>
      </c>
      <c r="H449" s="4">
        <v>11564000</v>
      </c>
      <c r="I449" s="3" t="s">
        <v>39</v>
      </c>
      <c r="J449" s="4">
        <v>1</v>
      </c>
      <c r="K449" s="3" t="s">
        <v>21</v>
      </c>
      <c r="L449" s="4">
        <v>3800000</v>
      </c>
      <c r="M449" s="1">
        <f>O449*J449*K449</f>
        <v>0</v>
      </c>
      <c r="N449" s="3"/>
      <c r="O449" s="2">
        <f>L449/J449*(1-K449)</f>
        <v>3800000</v>
      </c>
    </row>
    <row r="450" ht="14.25">
      <c r="A450" s="3" t="s">
        <v>344</v>
      </c>
      <c r="B450" s="3" t="s">
        <v>460</v>
      </c>
      <c r="C450" s="3" t="s">
        <v>479</v>
      </c>
      <c r="D450" s="3" t="s">
        <v>17</v>
      </c>
      <c r="E450" s="3" t="s">
        <v>480</v>
      </c>
      <c r="F450" s="3" t="s">
        <v>19</v>
      </c>
      <c r="G450" s="4">
        <v>0</v>
      </c>
      <c r="H450" s="4">
        <v>11564000</v>
      </c>
      <c r="I450" s="3" t="s">
        <v>29</v>
      </c>
      <c r="J450" s="4">
        <v>6</v>
      </c>
      <c r="K450" s="3" t="s">
        <v>21</v>
      </c>
      <c r="L450" s="4">
        <v>3000000</v>
      </c>
      <c r="M450" s="1">
        <f>O450*J450*K450</f>
        <v>0</v>
      </c>
      <c r="N450" s="3"/>
      <c r="O450" s="2">
        <f>L450/J450*(1-K450)</f>
        <v>500000</v>
      </c>
    </row>
    <row r="451" ht="14.25">
      <c r="A451" s="3" t="s">
        <v>344</v>
      </c>
      <c r="B451" s="3" t="s">
        <v>460</v>
      </c>
      <c r="C451" s="3" t="s">
        <v>479</v>
      </c>
      <c r="D451" s="3" t="s">
        <v>17</v>
      </c>
      <c r="E451" s="3" t="s">
        <v>480</v>
      </c>
      <c r="F451" s="3" t="s">
        <v>19</v>
      </c>
      <c r="G451" s="4">
        <v>0</v>
      </c>
      <c r="H451" s="4">
        <v>11564000</v>
      </c>
      <c r="I451" s="3" t="s">
        <v>474</v>
      </c>
      <c r="J451" s="4">
        <v>4</v>
      </c>
      <c r="K451" s="3" t="s">
        <v>21</v>
      </c>
      <c r="L451" s="4">
        <v>1500000</v>
      </c>
      <c r="M451" s="1">
        <f>O451*J451*K451</f>
        <v>0</v>
      </c>
      <c r="N451" s="3"/>
      <c r="O451" s="2">
        <f>L451/J451*(1-K451)</f>
        <v>375000</v>
      </c>
    </row>
    <row r="452" ht="14.25">
      <c r="A452" s="3" t="s">
        <v>344</v>
      </c>
      <c r="B452" s="3" t="s">
        <v>460</v>
      </c>
      <c r="C452" s="3" t="s">
        <v>479</v>
      </c>
      <c r="D452" s="3" t="s">
        <v>17</v>
      </c>
      <c r="E452" s="3" t="s">
        <v>480</v>
      </c>
      <c r="F452" s="3" t="s">
        <v>19</v>
      </c>
      <c r="G452" s="4">
        <v>0</v>
      </c>
      <c r="H452" s="4">
        <v>11564000</v>
      </c>
      <c r="I452" s="3" t="s">
        <v>56</v>
      </c>
      <c r="J452" s="4">
        <v>4</v>
      </c>
      <c r="K452" s="3" t="s">
        <v>21</v>
      </c>
      <c r="L452" s="4">
        <v>640000</v>
      </c>
      <c r="M452" s="1">
        <f>O452*J452*K452</f>
        <v>0</v>
      </c>
      <c r="N452" s="3"/>
      <c r="O452" s="2">
        <f>L452/J452*(1-K452)</f>
        <v>160000</v>
      </c>
    </row>
    <row r="453" ht="14.25">
      <c r="A453" s="3" t="s">
        <v>344</v>
      </c>
      <c r="B453" s="3" t="s">
        <v>460</v>
      </c>
      <c r="C453" s="3" t="s">
        <v>479</v>
      </c>
      <c r="D453" s="3" t="s">
        <v>17</v>
      </c>
      <c r="E453" s="3" t="s">
        <v>480</v>
      </c>
      <c r="F453" s="3" t="s">
        <v>19</v>
      </c>
      <c r="G453" s="4">
        <v>0</v>
      </c>
      <c r="H453" s="4">
        <v>11564000</v>
      </c>
      <c r="I453" s="3" t="s">
        <v>467</v>
      </c>
      <c r="J453" s="4">
        <v>20</v>
      </c>
      <c r="K453" s="3" t="s">
        <v>21</v>
      </c>
      <c r="L453" s="4">
        <v>720000</v>
      </c>
      <c r="M453" s="1">
        <f>O453*J453*K453</f>
        <v>0</v>
      </c>
      <c r="N453" s="3"/>
      <c r="O453" s="2">
        <f>L453/J453*(1-K453)</f>
        <v>36000</v>
      </c>
    </row>
    <row r="454" ht="14.25">
      <c r="A454" s="3" t="s">
        <v>344</v>
      </c>
      <c r="B454" s="3" t="s">
        <v>460</v>
      </c>
      <c r="C454" s="3" t="s">
        <v>479</v>
      </c>
      <c r="D454" s="3" t="s">
        <v>17</v>
      </c>
      <c r="E454" s="3" t="s">
        <v>480</v>
      </c>
      <c r="F454" s="3" t="s">
        <v>19</v>
      </c>
      <c r="G454" s="4">
        <v>0</v>
      </c>
      <c r="H454" s="4">
        <v>11564000</v>
      </c>
      <c r="I454" s="3" t="s">
        <v>47</v>
      </c>
      <c r="J454" s="4">
        <v>24</v>
      </c>
      <c r="K454" s="3" t="s">
        <v>21</v>
      </c>
      <c r="L454" s="4">
        <v>864000</v>
      </c>
      <c r="M454" s="1">
        <f>O454*J454*K454</f>
        <v>0</v>
      </c>
      <c r="N454" s="3"/>
      <c r="O454" s="2">
        <f>L454/J454*(1-K454)</f>
        <v>36000</v>
      </c>
    </row>
    <row r="455" ht="14.25">
      <c r="A455" s="3" t="s">
        <v>344</v>
      </c>
      <c r="B455" s="3" t="s">
        <v>460</v>
      </c>
      <c r="C455" s="3" t="s">
        <v>479</v>
      </c>
      <c r="D455" s="3" t="s">
        <v>17</v>
      </c>
      <c r="E455" s="3" t="s">
        <v>480</v>
      </c>
      <c r="F455" s="3" t="s">
        <v>19</v>
      </c>
      <c r="G455" s="4">
        <v>0</v>
      </c>
      <c r="H455" s="4">
        <v>11564000</v>
      </c>
      <c r="I455" s="3" t="s">
        <v>188</v>
      </c>
      <c r="J455" s="4">
        <v>4</v>
      </c>
      <c r="K455" s="3" t="s">
        <v>21</v>
      </c>
      <c r="L455" s="4">
        <v>1040000</v>
      </c>
      <c r="M455" s="1">
        <f>O455*J455*K455</f>
        <v>0</v>
      </c>
      <c r="N455" s="3"/>
      <c r="O455" s="2">
        <f>L455/J455*(1-K455)</f>
        <v>260000</v>
      </c>
    </row>
    <row r="456" ht="14.25">
      <c r="A456" s="3" t="s">
        <v>344</v>
      </c>
      <c r="B456" s="3" t="s">
        <v>460</v>
      </c>
      <c r="C456" s="3" t="s">
        <v>481</v>
      </c>
      <c r="D456" s="3" t="s">
        <v>159</v>
      </c>
      <c r="E456" s="3" t="s">
        <v>53</v>
      </c>
      <c r="F456" s="3" t="s">
        <v>19</v>
      </c>
      <c r="G456" s="4">
        <v>4306300</v>
      </c>
      <c r="H456" s="4">
        <v>4306300</v>
      </c>
      <c r="I456" s="3" t="s">
        <v>474</v>
      </c>
      <c r="J456" s="4">
        <v>4</v>
      </c>
      <c r="K456" s="3" t="s">
        <v>21</v>
      </c>
      <c r="L456" s="4">
        <v>1320000</v>
      </c>
      <c r="M456" s="1">
        <f>O456*J456*K456</f>
        <v>0</v>
      </c>
      <c r="N456" s="3"/>
      <c r="O456" s="2">
        <f>L456/J456*(1-K456)</f>
        <v>330000</v>
      </c>
    </row>
    <row r="457" ht="14.25">
      <c r="A457" s="3" t="s">
        <v>344</v>
      </c>
      <c r="B457" s="3" t="s">
        <v>460</v>
      </c>
      <c r="C457" s="3" t="s">
        <v>481</v>
      </c>
      <c r="D457" s="3" t="s">
        <v>159</v>
      </c>
      <c r="E457" s="3" t="s">
        <v>53</v>
      </c>
      <c r="F457" s="3" t="s">
        <v>19</v>
      </c>
      <c r="G457" s="4">
        <v>4306300</v>
      </c>
      <c r="H457" s="4">
        <v>4306300</v>
      </c>
      <c r="I457" s="3" t="s">
        <v>467</v>
      </c>
      <c r="J457" s="4">
        <v>20</v>
      </c>
      <c r="K457" s="3" t="s">
        <v>21</v>
      </c>
      <c r="L457" s="4">
        <v>670000</v>
      </c>
      <c r="M457" s="1">
        <f>O457*J457*K457</f>
        <v>0</v>
      </c>
      <c r="N457" s="3"/>
      <c r="O457" s="2">
        <f>L457/J457*(1-K457)</f>
        <v>33500</v>
      </c>
    </row>
    <row r="458" ht="14.25">
      <c r="A458" s="3" t="s">
        <v>344</v>
      </c>
      <c r="B458" s="3" t="s">
        <v>460</v>
      </c>
      <c r="C458" s="3" t="s">
        <v>481</v>
      </c>
      <c r="D458" s="3" t="s">
        <v>159</v>
      </c>
      <c r="E458" s="3" t="s">
        <v>53</v>
      </c>
      <c r="F458" s="3" t="s">
        <v>19</v>
      </c>
      <c r="G458" s="4">
        <v>4306300</v>
      </c>
      <c r="H458" s="4">
        <v>4306300</v>
      </c>
      <c r="I458" s="3" t="s">
        <v>395</v>
      </c>
      <c r="J458" s="4">
        <v>6</v>
      </c>
      <c r="K458" s="3" t="s">
        <v>21</v>
      </c>
      <c r="L458" s="4">
        <v>750000</v>
      </c>
      <c r="M458" s="1">
        <f>O458*J458*K458</f>
        <v>0</v>
      </c>
      <c r="N458" s="3"/>
      <c r="O458" s="2">
        <f>L458/J458*(1-K458)</f>
        <v>125000</v>
      </c>
    </row>
    <row r="459" ht="14.25">
      <c r="A459" s="3" t="s">
        <v>344</v>
      </c>
      <c r="B459" s="3" t="s">
        <v>460</v>
      </c>
      <c r="C459" s="3" t="s">
        <v>481</v>
      </c>
      <c r="D459" s="3" t="s">
        <v>159</v>
      </c>
      <c r="E459" s="3" t="s">
        <v>53</v>
      </c>
      <c r="F459" s="3" t="s">
        <v>19</v>
      </c>
      <c r="G459" s="4">
        <v>4306300</v>
      </c>
      <c r="H459" s="4">
        <v>4306300</v>
      </c>
      <c r="I459" s="3" t="s">
        <v>482</v>
      </c>
      <c r="J459" s="4">
        <v>12</v>
      </c>
      <c r="K459" s="3" t="s">
        <v>21</v>
      </c>
      <c r="L459" s="4">
        <v>636300</v>
      </c>
      <c r="M459" s="1">
        <f>O459*J459*K459</f>
        <v>0</v>
      </c>
      <c r="N459" s="3"/>
      <c r="O459" s="2">
        <f>L459/J459*(1-K459)</f>
        <v>53025</v>
      </c>
    </row>
    <row r="460" ht="14.25">
      <c r="A460" s="3" t="s">
        <v>344</v>
      </c>
      <c r="B460" s="3" t="s">
        <v>460</v>
      </c>
      <c r="C460" s="3" t="s">
        <v>481</v>
      </c>
      <c r="D460" s="3" t="s">
        <v>159</v>
      </c>
      <c r="E460" s="3" t="s">
        <v>53</v>
      </c>
      <c r="F460" s="3" t="s">
        <v>19</v>
      </c>
      <c r="G460" s="4">
        <v>4306300</v>
      </c>
      <c r="H460" s="4">
        <v>4306300</v>
      </c>
      <c r="I460" s="3" t="s">
        <v>483</v>
      </c>
      <c r="J460" s="4">
        <v>6</v>
      </c>
      <c r="K460" s="3" t="s">
        <v>21</v>
      </c>
      <c r="L460" s="4">
        <v>198000</v>
      </c>
      <c r="M460" s="1">
        <f>O460*J460*K460</f>
        <v>0</v>
      </c>
      <c r="N460" s="3"/>
      <c r="O460" s="2">
        <f>L460/J460*(1-K460)</f>
        <v>33000</v>
      </c>
    </row>
    <row r="461" ht="14.25">
      <c r="A461" s="3" t="s">
        <v>344</v>
      </c>
      <c r="B461" s="3" t="s">
        <v>460</v>
      </c>
      <c r="C461" s="3" t="s">
        <v>481</v>
      </c>
      <c r="D461" s="3" t="s">
        <v>159</v>
      </c>
      <c r="E461" s="3" t="s">
        <v>53</v>
      </c>
      <c r="F461" s="3" t="s">
        <v>19</v>
      </c>
      <c r="G461" s="4">
        <v>4306300</v>
      </c>
      <c r="H461" s="4">
        <v>4306300</v>
      </c>
      <c r="I461" s="3" t="s">
        <v>207</v>
      </c>
      <c r="J461" s="4">
        <v>6</v>
      </c>
      <c r="K461" s="3" t="s">
        <v>21</v>
      </c>
      <c r="L461" s="4">
        <v>192000</v>
      </c>
      <c r="M461" s="1">
        <f>O461*J461*K461</f>
        <v>0</v>
      </c>
      <c r="N461" s="3"/>
      <c r="O461" s="2">
        <f>L461/J461*(1-K461)</f>
        <v>32000</v>
      </c>
    </row>
    <row r="462" ht="14.25">
      <c r="A462" s="3" t="s">
        <v>344</v>
      </c>
      <c r="B462" s="3" t="s">
        <v>460</v>
      </c>
      <c r="C462" s="3" t="s">
        <v>481</v>
      </c>
      <c r="D462" s="3" t="s">
        <v>159</v>
      </c>
      <c r="E462" s="3" t="s">
        <v>53</v>
      </c>
      <c r="F462" s="3" t="s">
        <v>19</v>
      </c>
      <c r="G462" s="4">
        <v>4306300</v>
      </c>
      <c r="H462" s="4">
        <v>4306300</v>
      </c>
      <c r="I462" s="3" t="s">
        <v>484</v>
      </c>
      <c r="J462" s="4">
        <v>6</v>
      </c>
      <c r="K462" s="3" t="s">
        <v>21</v>
      </c>
      <c r="L462" s="4">
        <v>240000</v>
      </c>
      <c r="M462" s="1">
        <f>O462*J462*K462</f>
        <v>0</v>
      </c>
      <c r="N462" s="3"/>
      <c r="O462" s="2">
        <f>L462/J462*(1-K462)</f>
        <v>40000</v>
      </c>
    </row>
    <row r="463" ht="14.25">
      <c r="A463" s="3" t="s">
        <v>344</v>
      </c>
      <c r="B463" s="3" t="s">
        <v>460</v>
      </c>
      <c r="C463" s="3" t="s">
        <v>481</v>
      </c>
      <c r="D463" s="3" t="s">
        <v>159</v>
      </c>
      <c r="E463" s="3" t="s">
        <v>53</v>
      </c>
      <c r="F463" s="3" t="s">
        <v>19</v>
      </c>
      <c r="G463" s="4">
        <v>4306300</v>
      </c>
      <c r="H463" s="4">
        <v>4306300</v>
      </c>
      <c r="I463" s="3" t="s">
        <v>161</v>
      </c>
      <c r="J463" s="4">
        <v>48</v>
      </c>
      <c r="K463" s="3" t="s">
        <v>21</v>
      </c>
      <c r="L463" s="4">
        <v>300000</v>
      </c>
      <c r="M463" s="1">
        <f>O463*J463*K463</f>
        <v>0</v>
      </c>
      <c r="N463" s="3"/>
      <c r="O463" s="2">
        <f>L463/J463*(1-K463)</f>
        <v>6250</v>
      </c>
    </row>
    <row r="464" ht="14.25">
      <c r="A464" s="3" t="s">
        <v>344</v>
      </c>
      <c r="B464" s="3" t="s">
        <v>457</v>
      </c>
      <c r="C464" s="3" t="s">
        <v>485</v>
      </c>
      <c r="D464" s="3" t="s">
        <v>17</v>
      </c>
      <c r="E464" s="3" t="s">
        <v>340</v>
      </c>
      <c r="F464" s="3" t="s">
        <v>19</v>
      </c>
      <c r="G464" s="4">
        <v>0</v>
      </c>
      <c r="H464" s="4">
        <v>2800000</v>
      </c>
      <c r="I464" s="3" t="s">
        <v>250</v>
      </c>
      <c r="J464" s="4">
        <v>16</v>
      </c>
      <c r="K464" s="3" t="s">
        <v>21</v>
      </c>
      <c r="L464" s="4">
        <v>2800000</v>
      </c>
      <c r="M464" s="1">
        <f>O464*J464*K464</f>
        <v>0</v>
      </c>
      <c r="N464" s="3"/>
      <c r="O464" s="2">
        <f>L464/J464*(1-K464)</f>
        <v>175000</v>
      </c>
    </row>
    <row r="465" ht="14.25">
      <c r="A465" s="3" t="s">
        <v>344</v>
      </c>
      <c r="B465" s="3" t="s">
        <v>460</v>
      </c>
      <c r="C465" s="3" t="s">
        <v>486</v>
      </c>
      <c r="D465" s="3" t="s">
        <v>17</v>
      </c>
      <c r="E465" s="3" t="s">
        <v>168</v>
      </c>
      <c r="F465" s="3" t="s">
        <v>19</v>
      </c>
      <c r="G465" s="4">
        <v>0</v>
      </c>
      <c r="H465" s="4">
        <v>1400000</v>
      </c>
      <c r="I465" s="3" t="s">
        <v>250</v>
      </c>
      <c r="J465" s="4">
        <v>8</v>
      </c>
      <c r="K465" s="3" t="s">
        <v>21</v>
      </c>
      <c r="L465" s="4">
        <v>1400000</v>
      </c>
      <c r="M465" s="1">
        <f>O465*J465*K465</f>
        <v>0</v>
      </c>
      <c r="N465" s="3"/>
      <c r="O465" s="2">
        <f>L465/J465*(1-K465)</f>
        <v>175000</v>
      </c>
    </row>
    <row r="466" ht="14.25">
      <c r="A466" s="3" t="s">
        <v>384</v>
      </c>
      <c r="B466" s="3" t="s">
        <v>487</v>
      </c>
      <c r="C466" s="3" t="s">
        <v>488</v>
      </c>
      <c r="D466" s="3" t="s">
        <v>17</v>
      </c>
      <c r="E466" s="3" t="s">
        <v>489</v>
      </c>
      <c r="F466" s="3" t="s">
        <v>19</v>
      </c>
      <c r="G466" s="4">
        <v>0</v>
      </c>
      <c r="H466" s="4">
        <v>15850000</v>
      </c>
      <c r="I466" s="3" t="s">
        <v>490</v>
      </c>
      <c r="J466" s="4">
        <v>24</v>
      </c>
      <c r="K466" s="3" t="s">
        <v>21</v>
      </c>
      <c r="L466" s="4">
        <v>720000</v>
      </c>
      <c r="M466" s="1">
        <f>O466*J466*K466</f>
        <v>0</v>
      </c>
      <c r="N466" s="3"/>
      <c r="O466" s="2">
        <f>L466/J466*(1-K466)</f>
        <v>30000</v>
      </c>
    </row>
    <row r="467" ht="14.25">
      <c r="A467" s="3" t="s">
        <v>384</v>
      </c>
      <c r="B467" s="3" t="s">
        <v>487</v>
      </c>
      <c r="C467" s="3" t="s">
        <v>488</v>
      </c>
      <c r="D467" s="3" t="s">
        <v>17</v>
      </c>
      <c r="E467" s="3" t="s">
        <v>489</v>
      </c>
      <c r="F467" s="3" t="s">
        <v>19</v>
      </c>
      <c r="G467" s="4">
        <v>0</v>
      </c>
      <c r="H467" s="4">
        <v>15850000</v>
      </c>
      <c r="I467" s="3" t="s">
        <v>47</v>
      </c>
      <c r="J467" s="4">
        <v>360</v>
      </c>
      <c r="K467" s="3" t="s">
        <v>21</v>
      </c>
      <c r="L467" s="4">
        <v>10800000</v>
      </c>
      <c r="M467" s="1">
        <f>O467*J467*K467</f>
        <v>0</v>
      </c>
      <c r="N467" s="3"/>
      <c r="O467" s="2">
        <f>L467/J467*(1-K467)</f>
        <v>30000</v>
      </c>
    </row>
    <row r="468" ht="14.25">
      <c r="A468" s="3" t="s">
        <v>384</v>
      </c>
      <c r="B468" s="3" t="s">
        <v>487</v>
      </c>
      <c r="C468" s="3" t="s">
        <v>488</v>
      </c>
      <c r="D468" s="3" t="s">
        <v>17</v>
      </c>
      <c r="E468" s="3" t="s">
        <v>489</v>
      </c>
      <c r="F468" s="3" t="s">
        <v>19</v>
      </c>
      <c r="G468" s="4">
        <v>0</v>
      </c>
      <c r="H468" s="4">
        <v>15850000</v>
      </c>
      <c r="I468" s="3" t="s">
        <v>110</v>
      </c>
      <c r="J468" s="4">
        <v>72</v>
      </c>
      <c r="K468" s="3" t="s">
        <v>21</v>
      </c>
      <c r="L468" s="4">
        <v>2160000</v>
      </c>
      <c r="M468" s="1">
        <f>O468*J468*K468</f>
        <v>0</v>
      </c>
      <c r="N468" s="3"/>
      <c r="O468" s="2">
        <f>L468/J468*(1-K468)</f>
        <v>30000</v>
      </c>
    </row>
    <row r="469" ht="14.25">
      <c r="A469" s="3" t="s">
        <v>384</v>
      </c>
      <c r="B469" s="3" t="s">
        <v>487</v>
      </c>
      <c r="C469" s="3" t="s">
        <v>488</v>
      </c>
      <c r="D469" s="3" t="s">
        <v>17</v>
      </c>
      <c r="E469" s="3" t="s">
        <v>489</v>
      </c>
      <c r="F469" s="3" t="s">
        <v>19</v>
      </c>
      <c r="G469" s="4">
        <v>0</v>
      </c>
      <c r="H469" s="4">
        <v>15850000</v>
      </c>
      <c r="I469" s="3" t="s">
        <v>111</v>
      </c>
      <c r="J469" s="4">
        <v>48</v>
      </c>
      <c r="K469" s="3" t="s">
        <v>21</v>
      </c>
      <c r="L469" s="4">
        <v>1440000</v>
      </c>
      <c r="M469" s="1">
        <f>O469*J469*K469</f>
        <v>0</v>
      </c>
      <c r="N469" s="3"/>
      <c r="O469" s="2">
        <f>L469/J469*(1-K469)</f>
        <v>30000</v>
      </c>
    </row>
    <row r="470" ht="14.25">
      <c r="A470" s="3" t="s">
        <v>384</v>
      </c>
      <c r="B470" s="3" t="s">
        <v>487</v>
      </c>
      <c r="C470" s="3" t="s">
        <v>488</v>
      </c>
      <c r="D470" s="3" t="s">
        <v>17</v>
      </c>
      <c r="E470" s="3" t="s">
        <v>489</v>
      </c>
      <c r="F470" s="3" t="s">
        <v>19</v>
      </c>
      <c r="G470" s="4">
        <v>0</v>
      </c>
      <c r="H470" s="4">
        <v>15850000</v>
      </c>
      <c r="I470" s="3" t="s">
        <v>491</v>
      </c>
      <c r="J470" s="4">
        <v>24</v>
      </c>
      <c r="K470" s="3" t="s">
        <v>21</v>
      </c>
      <c r="L470" s="4">
        <v>852000</v>
      </c>
      <c r="M470" s="1">
        <f>O470*J470*K470</f>
        <v>0</v>
      </c>
      <c r="N470" s="3"/>
      <c r="O470" s="2">
        <f>L470/J470*(1-K470)</f>
        <v>35500</v>
      </c>
    </row>
    <row r="471" ht="14.25">
      <c r="A471" s="3" t="s">
        <v>384</v>
      </c>
      <c r="B471" s="3" t="s">
        <v>41</v>
      </c>
      <c r="C471" s="3" t="s">
        <v>492</v>
      </c>
      <c r="D471" s="3" t="s">
        <v>17</v>
      </c>
      <c r="E471" s="3" t="s">
        <v>340</v>
      </c>
      <c r="F471" s="3" t="s">
        <v>19</v>
      </c>
      <c r="G471" s="4">
        <v>0</v>
      </c>
      <c r="H471" s="4">
        <v>4118800</v>
      </c>
      <c r="I471" s="3" t="s">
        <v>474</v>
      </c>
      <c r="J471" s="4">
        <v>4</v>
      </c>
      <c r="K471" s="3" t="s">
        <v>21</v>
      </c>
      <c r="L471" s="4">
        <v>1320000</v>
      </c>
      <c r="M471" s="1">
        <f>O471*J471*K471</f>
        <v>0</v>
      </c>
      <c r="N471" s="3"/>
      <c r="O471" s="2">
        <f>L471/J471*(1-K471)</f>
        <v>330000</v>
      </c>
    </row>
    <row r="472" ht="14.25">
      <c r="A472" s="3" t="s">
        <v>384</v>
      </c>
      <c r="B472" s="3" t="s">
        <v>41</v>
      </c>
      <c r="C472" s="3" t="s">
        <v>492</v>
      </c>
      <c r="D472" s="3" t="s">
        <v>17</v>
      </c>
      <c r="E472" s="3" t="s">
        <v>340</v>
      </c>
      <c r="F472" s="3" t="s">
        <v>19</v>
      </c>
      <c r="G472" s="4">
        <v>0</v>
      </c>
      <c r="H472" s="4">
        <v>4118800</v>
      </c>
      <c r="I472" s="3" t="s">
        <v>424</v>
      </c>
      <c r="J472" s="4">
        <v>48</v>
      </c>
      <c r="K472" s="3" t="s">
        <v>21</v>
      </c>
      <c r="L472" s="4">
        <v>1368000</v>
      </c>
      <c r="M472" s="1">
        <f>O472*J472*K472</f>
        <v>0</v>
      </c>
      <c r="N472" s="3"/>
      <c r="O472" s="2">
        <f>L472/J472*(1-K472)</f>
        <v>28500</v>
      </c>
    </row>
    <row r="473" ht="14.25">
      <c r="A473" s="3" t="s">
        <v>384</v>
      </c>
      <c r="B473" s="3" t="s">
        <v>41</v>
      </c>
      <c r="C473" s="3" t="s">
        <v>492</v>
      </c>
      <c r="D473" s="3" t="s">
        <v>17</v>
      </c>
      <c r="E473" s="3" t="s">
        <v>340</v>
      </c>
      <c r="F473" s="3" t="s">
        <v>19</v>
      </c>
      <c r="G473" s="4">
        <v>0</v>
      </c>
      <c r="H473" s="4">
        <v>4118800</v>
      </c>
      <c r="I473" s="3" t="s">
        <v>298</v>
      </c>
      <c r="J473" s="4">
        <v>24</v>
      </c>
      <c r="K473" s="3" t="s">
        <v>21</v>
      </c>
      <c r="L473" s="4">
        <v>660000</v>
      </c>
      <c r="M473" s="1">
        <f>O473*J473*K473</f>
        <v>0</v>
      </c>
      <c r="N473" s="3"/>
      <c r="O473" s="2">
        <f>L473/J473*(1-K473)</f>
        <v>27500</v>
      </c>
    </row>
    <row r="474" ht="14.25">
      <c r="A474" s="3" t="s">
        <v>384</v>
      </c>
      <c r="B474" s="3" t="s">
        <v>41</v>
      </c>
      <c r="C474" s="3" t="s">
        <v>492</v>
      </c>
      <c r="D474" s="3" t="s">
        <v>17</v>
      </c>
      <c r="E474" s="3" t="s">
        <v>340</v>
      </c>
      <c r="F474" s="3" t="s">
        <v>19</v>
      </c>
      <c r="G474" s="4">
        <v>0</v>
      </c>
      <c r="H474" s="4">
        <v>4118800</v>
      </c>
      <c r="I474" s="3" t="s">
        <v>493</v>
      </c>
      <c r="J474" s="4">
        <v>20</v>
      </c>
      <c r="K474" s="3" t="s">
        <v>21</v>
      </c>
      <c r="L474" s="4">
        <v>770800</v>
      </c>
      <c r="M474" s="1">
        <f>O474*J474*K474</f>
        <v>0</v>
      </c>
      <c r="N474" s="3"/>
      <c r="O474" s="2">
        <f>L474/J474*(1-K474)</f>
        <v>38540</v>
      </c>
    </row>
    <row r="475" ht="14.25">
      <c r="A475" s="3" t="s">
        <v>384</v>
      </c>
      <c r="B475" s="3" t="s">
        <v>41</v>
      </c>
      <c r="C475" s="3" t="s">
        <v>494</v>
      </c>
      <c r="D475" s="3" t="s">
        <v>17</v>
      </c>
      <c r="E475" s="3" t="s">
        <v>252</v>
      </c>
      <c r="F475" s="3" t="s">
        <v>19</v>
      </c>
      <c r="G475" s="4">
        <v>0</v>
      </c>
      <c r="H475" s="4">
        <v>4400000</v>
      </c>
      <c r="I475" s="3" t="s">
        <v>495</v>
      </c>
      <c r="J475" s="4">
        <v>1</v>
      </c>
      <c r="K475" s="3" t="s">
        <v>21</v>
      </c>
      <c r="L475" s="4">
        <v>4400000</v>
      </c>
      <c r="M475" s="1">
        <f>O475*J475*K475</f>
        <v>0</v>
      </c>
      <c r="N475" s="3"/>
      <c r="O475" s="2">
        <f>L475/J475*(1-K475)</f>
        <v>4400000</v>
      </c>
    </row>
    <row r="476" ht="14.25">
      <c r="A476" s="3" t="s">
        <v>391</v>
      </c>
      <c r="B476" s="3" t="s">
        <v>97</v>
      </c>
      <c r="C476" s="3" t="s">
        <v>496</v>
      </c>
      <c r="D476" s="3" t="s">
        <v>17</v>
      </c>
      <c r="E476" s="3" t="s">
        <v>34</v>
      </c>
      <c r="F476" s="3" t="s">
        <v>19</v>
      </c>
      <c r="G476" s="4">
        <v>0</v>
      </c>
      <c r="H476" s="4">
        <v>16428000</v>
      </c>
      <c r="I476" s="3" t="s">
        <v>39</v>
      </c>
      <c r="J476" s="4">
        <v>2</v>
      </c>
      <c r="K476" s="3" t="s">
        <v>21</v>
      </c>
      <c r="L476" s="4">
        <v>6400000</v>
      </c>
      <c r="M476" s="1">
        <f>O476*J476*K476</f>
        <v>0</v>
      </c>
      <c r="N476" s="3"/>
      <c r="O476" s="2">
        <f>L476/J476*(1-K476)</f>
        <v>3200000</v>
      </c>
    </row>
    <row r="477" ht="14.25">
      <c r="A477" s="3" t="s">
        <v>391</v>
      </c>
      <c r="B477" s="3" t="s">
        <v>97</v>
      </c>
      <c r="C477" s="3" t="s">
        <v>496</v>
      </c>
      <c r="D477" s="3" t="s">
        <v>17</v>
      </c>
      <c r="E477" s="3" t="s">
        <v>34</v>
      </c>
      <c r="F477" s="3" t="s">
        <v>19</v>
      </c>
      <c r="G477" s="4">
        <v>0</v>
      </c>
      <c r="H477" s="4">
        <v>16428000</v>
      </c>
      <c r="I477" s="3" t="s">
        <v>497</v>
      </c>
      <c r="J477" s="4">
        <v>2</v>
      </c>
      <c r="K477" s="3" t="s">
        <v>21</v>
      </c>
      <c r="L477" s="4">
        <v>7500000</v>
      </c>
      <c r="M477" s="1">
        <f>O477*J477*K477</f>
        <v>0</v>
      </c>
      <c r="N477" s="3"/>
      <c r="O477" s="2">
        <f>L477/J477*(1-K477)</f>
        <v>3750000</v>
      </c>
    </row>
    <row r="478" ht="14.25">
      <c r="A478" s="3" t="s">
        <v>391</v>
      </c>
      <c r="B478" s="3" t="s">
        <v>97</v>
      </c>
      <c r="C478" s="3" t="s">
        <v>496</v>
      </c>
      <c r="D478" s="3" t="s">
        <v>17</v>
      </c>
      <c r="E478" s="3" t="s">
        <v>34</v>
      </c>
      <c r="F478" s="3" t="s">
        <v>19</v>
      </c>
      <c r="G478" s="4">
        <v>0</v>
      </c>
      <c r="H478" s="4">
        <v>16428000</v>
      </c>
      <c r="I478" s="3" t="s">
        <v>37</v>
      </c>
      <c r="J478" s="4">
        <v>12</v>
      </c>
      <c r="K478" s="3" t="s">
        <v>21</v>
      </c>
      <c r="L478" s="4">
        <v>276000</v>
      </c>
      <c r="M478" s="1">
        <f>O478*J478*K478</f>
        <v>0</v>
      </c>
      <c r="N478" s="3"/>
      <c r="O478" s="2">
        <f>L478/J478*(1-K478)</f>
        <v>23000</v>
      </c>
    </row>
    <row r="479" ht="14.25">
      <c r="A479" s="3" t="s">
        <v>391</v>
      </c>
      <c r="B479" s="3" t="s">
        <v>97</v>
      </c>
      <c r="C479" s="3" t="s">
        <v>496</v>
      </c>
      <c r="D479" s="3" t="s">
        <v>17</v>
      </c>
      <c r="E479" s="3" t="s">
        <v>34</v>
      </c>
      <c r="F479" s="3" t="s">
        <v>19</v>
      </c>
      <c r="G479" s="4">
        <v>0</v>
      </c>
      <c r="H479" s="4">
        <v>16428000</v>
      </c>
      <c r="I479" s="3" t="s">
        <v>57</v>
      </c>
      <c r="J479" s="4">
        <v>24</v>
      </c>
      <c r="K479" s="3" t="s">
        <v>21</v>
      </c>
      <c r="L479" s="4">
        <v>552000</v>
      </c>
      <c r="M479" s="1">
        <f>O479*J479*K479</f>
        <v>0</v>
      </c>
      <c r="N479" s="3"/>
      <c r="O479" s="2">
        <f>L479/J479*(1-K479)</f>
        <v>23000</v>
      </c>
    </row>
    <row r="480" ht="14.25">
      <c r="A480" s="3" t="s">
        <v>391</v>
      </c>
      <c r="B480" s="3" t="s">
        <v>97</v>
      </c>
      <c r="C480" s="3" t="s">
        <v>496</v>
      </c>
      <c r="D480" s="3" t="s">
        <v>17</v>
      </c>
      <c r="E480" s="3" t="s">
        <v>34</v>
      </c>
      <c r="F480" s="3" t="s">
        <v>19</v>
      </c>
      <c r="G480" s="4">
        <v>0</v>
      </c>
      <c r="H480" s="4">
        <v>16428000</v>
      </c>
      <c r="I480" s="3" t="s">
        <v>123</v>
      </c>
      <c r="J480" s="4">
        <v>5</v>
      </c>
      <c r="K480" s="3" t="s">
        <v>21</v>
      </c>
      <c r="L480" s="4">
        <v>1700000</v>
      </c>
      <c r="M480" s="1">
        <f>O480*J480*K480</f>
        <v>0</v>
      </c>
      <c r="N480" s="3"/>
      <c r="O480" s="2">
        <f>L480/J480*(1-K480)</f>
        <v>340000</v>
      </c>
    </row>
    <row r="481" ht="14.25">
      <c r="A481" s="3" t="s">
        <v>391</v>
      </c>
      <c r="B481" s="3" t="s">
        <v>97</v>
      </c>
      <c r="C481" s="3" t="s">
        <v>498</v>
      </c>
      <c r="D481" s="3" t="s">
        <v>17</v>
      </c>
      <c r="E481" s="3" t="s">
        <v>23</v>
      </c>
      <c r="F481" s="3" t="s">
        <v>19</v>
      </c>
      <c r="G481" s="4">
        <v>0</v>
      </c>
      <c r="H481" s="4">
        <v>2780000</v>
      </c>
      <c r="I481" s="3" t="s">
        <v>283</v>
      </c>
      <c r="J481" s="4">
        <v>2</v>
      </c>
      <c r="K481" s="3" t="s">
        <v>21</v>
      </c>
      <c r="L481" s="4">
        <v>2780000</v>
      </c>
      <c r="M481" s="1">
        <f>O481*J481*K481</f>
        <v>0</v>
      </c>
      <c r="N481" s="3"/>
      <c r="O481" s="2">
        <f>L481/J481*(1-K481)</f>
        <v>1390000</v>
      </c>
    </row>
    <row r="482" ht="14.25">
      <c r="A482" s="3" t="s">
        <v>391</v>
      </c>
      <c r="B482" s="3" t="s">
        <v>97</v>
      </c>
      <c r="C482" s="3" t="s">
        <v>499</v>
      </c>
      <c r="D482" s="3" t="s">
        <v>17</v>
      </c>
      <c r="E482" s="3" t="s">
        <v>451</v>
      </c>
      <c r="F482" s="3" t="s">
        <v>19</v>
      </c>
      <c r="G482" s="4">
        <v>0</v>
      </c>
      <c r="H482" s="4">
        <v>9000000</v>
      </c>
      <c r="I482" s="3" t="s">
        <v>61</v>
      </c>
      <c r="J482" s="4">
        <v>1</v>
      </c>
      <c r="K482" s="3" t="s">
        <v>21</v>
      </c>
      <c r="L482" s="4">
        <v>4500000</v>
      </c>
      <c r="M482" s="1">
        <f>O482*J482*K482</f>
        <v>0</v>
      </c>
      <c r="N482" s="3"/>
      <c r="O482" s="2">
        <f>L482/J482*(1-K482)</f>
        <v>4500000</v>
      </c>
    </row>
    <row r="483" ht="14.25">
      <c r="A483" s="3" t="s">
        <v>391</v>
      </c>
      <c r="B483" s="3" t="s">
        <v>97</v>
      </c>
      <c r="C483" s="3" t="s">
        <v>499</v>
      </c>
      <c r="D483" s="3" t="s">
        <v>17</v>
      </c>
      <c r="E483" s="3" t="s">
        <v>451</v>
      </c>
      <c r="F483" s="3" t="s">
        <v>19</v>
      </c>
      <c r="G483" s="4">
        <v>0</v>
      </c>
      <c r="H483" s="4">
        <v>9000000</v>
      </c>
      <c r="I483" s="3" t="s">
        <v>219</v>
      </c>
      <c r="J483" s="4">
        <v>1</v>
      </c>
      <c r="K483" s="3" t="s">
        <v>21</v>
      </c>
      <c r="L483" s="4">
        <v>4500000</v>
      </c>
      <c r="M483" s="1">
        <f>O483*J483*K483</f>
        <v>0</v>
      </c>
      <c r="N483" s="3"/>
      <c r="O483" s="2">
        <f>L483/J483*(1-K483)</f>
        <v>4500000</v>
      </c>
    </row>
    <row r="484" ht="14.25">
      <c r="A484" s="3" t="s">
        <v>391</v>
      </c>
      <c r="B484" s="3" t="s">
        <v>97</v>
      </c>
      <c r="C484" s="3" t="s">
        <v>500</v>
      </c>
      <c r="D484" s="3" t="s">
        <v>17</v>
      </c>
      <c r="E484" s="3" t="s">
        <v>501</v>
      </c>
      <c r="F484" s="3" t="s">
        <v>19</v>
      </c>
      <c r="G484" s="4">
        <v>0</v>
      </c>
      <c r="H484" s="4">
        <v>7989000</v>
      </c>
      <c r="I484" s="3" t="s">
        <v>502</v>
      </c>
      <c r="J484" s="4">
        <v>20</v>
      </c>
      <c r="K484" s="3" t="s">
        <v>21</v>
      </c>
      <c r="L484" s="4">
        <v>440000</v>
      </c>
      <c r="M484" s="1">
        <f>O484*J484*K484</f>
        <v>0</v>
      </c>
      <c r="N484" s="3"/>
      <c r="O484" s="2">
        <f>L484/J484*(1-K484)</f>
        <v>22000</v>
      </c>
    </row>
    <row r="485" ht="14.25">
      <c r="A485" s="3" t="s">
        <v>391</v>
      </c>
      <c r="B485" s="3" t="s">
        <v>97</v>
      </c>
      <c r="C485" s="3" t="s">
        <v>500</v>
      </c>
      <c r="D485" s="3" t="s">
        <v>17</v>
      </c>
      <c r="E485" s="3" t="s">
        <v>501</v>
      </c>
      <c r="F485" s="3" t="s">
        <v>19</v>
      </c>
      <c r="G485" s="4">
        <v>0</v>
      </c>
      <c r="H485" s="4">
        <v>7989000</v>
      </c>
      <c r="I485" s="3" t="s">
        <v>503</v>
      </c>
      <c r="J485" s="4">
        <v>15</v>
      </c>
      <c r="K485" s="3" t="s">
        <v>21</v>
      </c>
      <c r="L485" s="4">
        <v>2955000</v>
      </c>
      <c r="M485" s="1">
        <f>O485*J485*K485</f>
        <v>0</v>
      </c>
      <c r="N485" s="3"/>
      <c r="O485" s="2">
        <f>L485/J485*(1-K485)</f>
        <v>197000</v>
      </c>
    </row>
    <row r="486" ht="14.25">
      <c r="A486" s="3" t="s">
        <v>391</v>
      </c>
      <c r="B486" s="3" t="s">
        <v>97</v>
      </c>
      <c r="C486" s="3" t="s">
        <v>500</v>
      </c>
      <c r="D486" s="3" t="s">
        <v>17</v>
      </c>
      <c r="E486" s="3" t="s">
        <v>501</v>
      </c>
      <c r="F486" s="3" t="s">
        <v>19</v>
      </c>
      <c r="G486" s="4">
        <v>0</v>
      </c>
      <c r="H486" s="4">
        <v>7989000</v>
      </c>
      <c r="I486" s="3" t="s">
        <v>378</v>
      </c>
      <c r="J486" s="4">
        <v>1</v>
      </c>
      <c r="K486" s="3" t="s">
        <v>21</v>
      </c>
      <c r="L486" s="4">
        <v>2800000</v>
      </c>
      <c r="M486" s="1">
        <f>O486*J486*K486</f>
        <v>0</v>
      </c>
      <c r="N486" s="3"/>
      <c r="O486" s="2">
        <f>L486/J486*(1-K486)</f>
        <v>2800000</v>
      </c>
    </row>
    <row r="487" ht="14.25">
      <c r="A487" s="3" t="s">
        <v>391</v>
      </c>
      <c r="B487" s="3" t="s">
        <v>97</v>
      </c>
      <c r="C487" s="3" t="s">
        <v>500</v>
      </c>
      <c r="D487" s="3" t="s">
        <v>17</v>
      </c>
      <c r="E487" s="3" t="s">
        <v>501</v>
      </c>
      <c r="F487" s="3" t="s">
        <v>19</v>
      </c>
      <c r="G487" s="4">
        <v>0</v>
      </c>
      <c r="H487" s="4">
        <v>7989000</v>
      </c>
      <c r="I487" s="3" t="s">
        <v>415</v>
      </c>
      <c r="J487" s="4">
        <v>18</v>
      </c>
      <c r="K487" s="3" t="s">
        <v>21</v>
      </c>
      <c r="L487" s="4">
        <v>648000</v>
      </c>
      <c r="M487" s="1">
        <f>O487*J487*K487</f>
        <v>0</v>
      </c>
      <c r="N487" s="3"/>
      <c r="O487" s="2">
        <f>L487/J487*(1-K487)</f>
        <v>36000</v>
      </c>
    </row>
    <row r="488" ht="14.25">
      <c r="A488" s="3" t="s">
        <v>391</v>
      </c>
      <c r="B488" s="3" t="s">
        <v>97</v>
      </c>
      <c r="C488" s="3" t="s">
        <v>500</v>
      </c>
      <c r="D488" s="3" t="s">
        <v>17</v>
      </c>
      <c r="E488" s="3" t="s">
        <v>501</v>
      </c>
      <c r="F488" s="3" t="s">
        <v>19</v>
      </c>
      <c r="G488" s="4">
        <v>0</v>
      </c>
      <c r="H488" s="4">
        <v>7989000</v>
      </c>
      <c r="I488" s="3" t="s">
        <v>48</v>
      </c>
      <c r="J488" s="4">
        <v>12</v>
      </c>
      <c r="K488" s="3" t="s">
        <v>21</v>
      </c>
      <c r="L488" s="4">
        <v>348000</v>
      </c>
      <c r="M488" s="1">
        <f>O488*J488*K488</f>
        <v>0</v>
      </c>
      <c r="N488" s="3"/>
      <c r="O488" s="2">
        <f>L488/J488*(1-K488)</f>
        <v>29000</v>
      </c>
    </row>
    <row r="489" ht="14.25">
      <c r="A489" s="3" t="s">
        <v>391</v>
      </c>
      <c r="B489" s="3" t="s">
        <v>97</v>
      </c>
      <c r="C489" s="3" t="s">
        <v>500</v>
      </c>
      <c r="D489" s="3" t="s">
        <v>17</v>
      </c>
      <c r="E489" s="3" t="s">
        <v>501</v>
      </c>
      <c r="F489" s="3" t="s">
        <v>19</v>
      </c>
      <c r="G489" s="4">
        <v>0</v>
      </c>
      <c r="H489" s="4">
        <v>7989000</v>
      </c>
      <c r="I489" s="3" t="s">
        <v>504</v>
      </c>
      <c r="J489" s="4">
        <v>6</v>
      </c>
      <c r="K489" s="3" t="s">
        <v>21</v>
      </c>
      <c r="L489" s="4">
        <v>798000</v>
      </c>
      <c r="M489" s="1">
        <f>O489*J489*K489</f>
        <v>0</v>
      </c>
      <c r="N489" s="3"/>
      <c r="O489" s="2">
        <f>L489/J489*(1-K489)</f>
        <v>133000</v>
      </c>
    </row>
    <row r="490" ht="14.25">
      <c r="A490" s="3" t="s">
        <v>391</v>
      </c>
      <c r="B490" s="3" t="s">
        <v>254</v>
      </c>
      <c r="C490" s="3" t="s">
        <v>505</v>
      </c>
      <c r="D490" s="3" t="s">
        <v>17</v>
      </c>
      <c r="E490" s="3" t="s">
        <v>99</v>
      </c>
      <c r="F490" s="3" t="s">
        <v>19</v>
      </c>
      <c r="G490" s="4">
        <v>0</v>
      </c>
      <c r="H490" s="4">
        <v>35156000</v>
      </c>
      <c r="I490" s="3" t="s">
        <v>506</v>
      </c>
      <c r="J490" s="4">
        <v>144</v>
      </c>
      <c r="K490" s="3" t="s">
        <v>21</v>
      </c>
      <c r="L490" s="4">
        <v>2448000</v>
      </c>
      <c r="M490" s="1">
        <f>O490*J490*K490</f>
        <v>0</v>
      </c>
      <c r="N490" s="3"/>
      <c r="O490" s="2">
        <f>L490/J490*(1-K490)</f>
        <v>17000</v>
      </c>
    </row>
    <row r="491" ht="14.25">
      <c r="A491" s="3" t="s">
        <v>391</v>
      </c>
      <c r="B491" s="3" t="s">
        <v>254</v>
      </c>
      <c r="C491" s="3" t="s">
        <v>505</v>
      </c>
      <c r="D491" s="3" t="s">
        <v>17</v>
      </c>
      <c r="E491" s="3" t="s">
        <v>99</v>
      </c>
      <c r="F491" s="3" t="s">
        <v>19</v>
      </c>
      <c r="G491" s="4">
        <v>0</v>
      </c>
      <c r="H491" s="4">
        <v>35156000</v>
      </c>
      <c r="I491" s="3" t="s">
        <v>507</v>
      </c>
      <c r="J491" s="4">
        <v>24</v>
      </c>
      <c r="K491" s="3" t="s">
        <v>21</v>
      </c>
      <c r="L491" s="4">
        <v>1608000</v>
      </c>
      <c r="M491" s="1">
        <f>O491*J491*K491</f>
        <v>0</v>
      </c>
      <c r="N491" s="3"/>
      <c r="O491" s="2">
        <f>L491/J491*(1-K491)</f>
        <v>67000</v>
      </c>
    </row>
    <row r="492" ht="14.25">
      <c r="A492" s="3" t="s">
        <v>391</v>
      </c>
      <c r="B492" s="3" t="s">
        <v>254</v>
      </c>
      <c r="C492" s="3" t="s">
        <v>505</v>
      </c>
      <c r="D492" s="3" t="s">
        <v>17</v>
      </c>
      <c r="E492" s="3" t="s">
        <v>99</v>
      </c>
      <c r="F492" s="3" t="s">
        <v>19</v>
      </c>
      <c r="G492" s="4">
        <v>0</v>
      </c>
      <c r="H492" s="4">
        <v>35156000</v>
      </c>
      <c r="I492" s="3" t="s">
        <v>508</v>
      </c>
      <c r="J492" s="4">
        <v>6</v>
      </c>
      <c r="K492" s="3" t="s">
        <v>21</v>
      </c>
      <c r="L492" s="4">
        <v>4500000</v>
      </c>
      <c r="M492" s="1">
        <f>O492*J492*K492</f>
        <v>0</v>
      </c>
      <c r="N492" s="3"/>
      <c r="O492" s="2">
        <f>L492/J492*(1-K492)</f>
        <v>750000</v>
      </c>
    </row>
    <row r="493" ht="14.25">
      <c r="A493" s="3" t="s">
        <v>391</v>
      </c>
      <c r="B493" s="3" t="s">
        <v>254</v>
      </c>
      <c r="C493" s="3" t="s">
        <v>505</v>
      </c>
      <c r="D493" s="3" t="s">
        <v>17</v>
      </c>
      <c r="E493" s="3" t="s">
        <v>99</v>
      </c>
      <c r="F493" s="3" t="s">
        <v>19</v>
      </c>
      <c r="G493" s="4">
        <v>0</v>
      </c>
      <c r="H493" s="4">
        <v>35156000</v>
      </c>
      <c r="I493" s="3" t="s">
        <v>509</v>
      </c>
      <c r="J493" s="4">
        <v>191</v>
      </c>
      <c r="K493" s="3" t="s">
        <v>21</v>
      </c>
      <c r="L493" s="4">
        <v>7640000</v>
      </c>
      <c r="M493" s="1">
        <f>O493*J493*K493</f>
        <v>0</v>
      </c>
      <c r="N493" s="3"/>
      <c r="O493" s="2">
        <f>L493/J493*(1-K493)</f>
        <v>40000</v>
      </c>
    </row>
    <row r="494" ht="14.25">
      <c r="A494" s="3" t="s">
        <v>391</v>
      </c>
      <c r="B494" s="3" t="s">
        <v>254</v>
      </c>
      <c r="C494" s="3" t="s">
        <v>505</v>
      </c>
      <c r="D494" s="3" t="s">
        <v>17</v>
      </c>
      <c r="E494" s="3" t="s">
        <v>99</v>
      </c>
      <c r="F494" s="3" t="s">
        <v>19</v>
      </c>
      <c r="G494" s="4">
        <v>0</v>
      </c>
      <c r="H494" s="4">
        <v>35156000</v>
      </c>
      <c r="I494" s="3" t="s">
        <v>510</v>
      </c>
      <c r="J494" s="4">
        <v>24</v>
      </c>
      <c r="K494" s="3" t="s">
        <v>21</v>
      </c>
      <c r="L494" s="4">
        <v>960000</v>
      </c>
      <c r="M494" s="1">
        <f>O494*J494*K494</f>
        <v>0</v>
      </c>
      <c r="N494" s="3"/>
      <c r="O494" s="2">
        <f>L494/J494*(1-K494)</f>
        <v>40000</v>
      </c>
    </row>
    <row r="495" ht="14.25">
      <c r="A495" s="3" t="s">
        <v>391</v>
      </c>
      <c r="B495" s="3" t="s">
        <v>254</v>
      </c>
      <c r="C495" s="3" t="s">
        <v>505</v>
      </c>
      <c r="D495" s="3" t="s">
        <v>17</v>
      </c>
      <c r="E495" s="3" t="s">
        <v>99</v>
      </c>
      <c r="F495" s="3" t="s">
        <v>19</v>
      </c>
      <c r="G495" s="4">
        <v>0</v>
      </c>
      <c r="H495" s="4">
        <v>35156000</v>
      </c>
      <c r="I495" s="3" t="s">
        <v>511</v>
      </c>
      <c r="J495" s="4">
        <v>1</v>
      </c>
      <c r="K495" s="3" t="s">
        <v>21</v>
      </c>
      <c r="L495" s="4">
        <v>5000000</v>
      </c>
      <c r="M495" s="1">
        <f>O495*J495*K495</f>
        <v>0</v>
      </c>
      <c r="N495" s="3"/>
      <c r="O495" s="2">
        <f>L495/J495*(1-K495)</f>
        <v>5000000</v>
      </c>
    </row>
    <row r="496" ht="14.25">
      <c r="A496" s="3" t="s">
        <v>391</v>
      </c>
      <c r="B496" s="3" t="s">
        <v>254</v>
      </c>
      <c r="C496" s="3" t="s">
        <v>505</v>
      </c>
      <c r="D496" s="3" t="s">
        <v>17</v>
      </c>
      <c r="E496" s="3" t="s">
        <v>99</v>
      </c>
      <c r="F496" s="3" t="s">
        <v>19</v>
      </c>
      <c r="G496" s="4">
        <v>0</v>
      </c>
      <c r="H496" s="4">
        <v>35156000</v>
      </c>
      <c r="I496" s="3" t="s">
        <v>100</v>
      </c>
      <c r="J496" s="4">
        <v>1</v>
      </c>
      <c r="K496" s="3" t="s">
        <v>21</v>
      </c>
      <c r="L496" s="4">
        <v>13000000</v>
      </c>
      <c r="M496" s="1">
        <f>O496*J496*K496</f>
        <v>0</v>
      </c>
      <c r="N496" s="3"/>
      <c r="O496" s="2">
        <f>L496/J496*(1-K496)</f>
        <v>13000000</v>
      </c>
    </row>
    <row r="497" ht="14.25">
      <c r="A497" s="3" t="s">
        <v>391</v>
      </c>
      <c r="B497" s="3" t="s">
        <v>97</v>
      </c>
      <c r="C497" s="3" t="s">
        <v>512</v>
      </c>
      <c r="D497" s="3" t="s">
        <v>17</v>
      </c>
      <c r="E497" s="3" t="s">
        <v>513</v>
      </c>
      <c r="F497" s="3" t="s">
        <v>19</v>
      </c>
      <c r="G497" s="4">
        <v>0</v>
      </c>
      <c r="H497" s="4">
        <v>14411448</v>
      </c>
      <c r="I497" s="3" t="s">
        <v>171</v>
      </c>
      <c r="J497" s="4">
        <v>1</v>
      </c>
      <c r="K497" s="3" t="s">
        <v>355</v>
      </c>
      <c r="L497" s="4">
        <v>5870000</v>
      </c>
      <c r="M497" s="1">
        <f>O497*J497*K497</f>
        <v>528300</v>
      </c>
      <c r="N497" s="3"/>
      <c r="O497" s="2">
        <f>L497/J497*(1-K497)</f>
        <v>5283000</v>
      </c>
    </row>
    <row r="498" ht="14.25">
      <c r="A498" s="3" t="s">
        <v>391</v>
      </c>
      <c r="B498" s="3" t="s">
        <v>97</v>
      </c>
      <c r="C498" s="3" t="s">
        <v>512</v>
      </c>
      <c r="D498" s="3" t="s">
        <v>17</v>
      </c>
      <c r="E498" s="3" t="s">
        <v>513</v>
      </c>
      <c r="F498" s="3" t="s">
        <v>19</v>
      </c>
      <c r="G498" s="4">
        <v>0</v>
      </c>
      <c r="H498" s="4">
        <v>14411448</v>
      </c>
      <c r="I498" s="3" t="s">
        <v>234</v>
      </c>
      <c r="J498" s="4">
        <v>1</v>
      </c>
      <c r="K498" s="3" t="s">
        <v>21</v>
      </c>
      <c r="L498" s="4">
        <v>4500000</v>
      </c>
      <c r="M498" s="1">
        <f>O498*J498*K498</f>
        <v>0</v>
      </c>
      <c r="N498" s="3"/>
      <c r="O498" s="2">
        <f>L498/J498*(1-K498)</f>
        <v>4500000</v>
      </c>
    </row>
    <row r="499" ht="14.25">
      <c r="A499" s="3" t="s">
        <v>391</v>
      </c>
      <c r="B499" s="3" t="s">
        <v>97</v>
      </c>
      <c r="C499" s="3" t="s">
        <v>512</v>
      </c>
      <c r="D499" s="3" t="s">
        <v>17</v>
      </c>
      <c r="E499" s="3" t="s">
        <v>513</v>
      </c>
      <c r="F499" s="3" t="s">
        <v>19</v>
      </c>
      <c r="G499" s="4">
        <v>0</v>
      </c>
      <c r="H499" s="4">
        <v>14411448</v>
      </c>
      <c r="I499" s="3" t="s">
        <v>147</v>
      </c>
      <c r="J499" s="4">
        <v>2</v>
      </c>
      <c r="K499" s="3" t="s">
        <v>21</v>
      </c>
      <c r="L499" s="4">
        <v>1360000</v>
      </c>
      <c r="M499" s="1">
        <f>O499*J499*K499</f>
        <v>0</v>
      </c>
      <c r="N499" s="3"/>
      <c r="O499" s="2">
        <f>L499/J499*(1-K499)</f>
        <v>680000</v>
      </c>
    </row>
    <row r="500" ht="14.25">
      <c r="A500" s="3" t="s">
        <v>391</v>
      </c>
      <c r="B500" s="3" t="s">
        <v>97</v>
      </c>
      <c r="C500" s="3" t="s">
        <v>512</v>
      </c>
      <c r="D500" s="3" t="s">
        <v>17</v>
      </c>
      <c r="E500" s="3" t="s">
        <v>513</v>
      </c>
      <c r="F500" s="3" t="s">
        <v>19</v>
      </c>
      <c r="G500" s="4">
        <v>0</v>
      </c>
      <c r="H500" s="4">
        <v>14411448</v>
      </c>
      <c r="I500" s="3" t="s">
        <v>69</v>
      </c>
      <c r="J500" s="4">
        <v>8</v>
      </c>
      <c r="K500" s="3" t="s">
        <v>21</v>
      </c>
      <c r="L500" s="4">
        <v>2999448</v>
      </c>
      <c r="M500" s="1">
        <f>O500*J500*K500</f>
        <v>0</v>
      </c>
      <c r="N500" s="3"/>
      <c r="O500" s="2">
        <f>L500/J500*(1-K500)</f>
        <v>374931</v>
      </c>
    </row>
    <row r="501" ht="14.25">
      <c r="A501" s="3" t="s">
        <v>391</v>
      </c>
      <c r="B501" s="3" t="s">
        <v>97</v>
      </c>
      <c r="C501" s="3" t="s">
        <v>512</v>
      </c>
      <c r="D501" s="3" t="s">
        <v>17</v>
      </c>
      <c r="E501" s="3" t="s">
        <v>513</v>
      </c>
      <c r="F501" s="3" t="s">
        <v>19</v>
      </c>
      <c r="G501" s="4">
        <v>0</v>
      </c>
      <c r="H501" s="4">
        <v>14411448</v>
      </c>
      <c r="I501" s="3" t="s">
        <v>201</v>
      </c>
      <c r="J501" s="4">
        <v>8</v>
      </c>
      <c r="K501" s="3" t="s">
        <v>21</v>
      </c>
      <c r="L501" s="4">
        <v>269000</v>
      </c>
      <c r="M501" s="1">
        <f>O501*J501*K501</f>
        <v>0</v>
      </c>
      <c r="N501" s="3"/>
      <c r="O501" s="2">
        <f>L501/J501*(1-K501)</f>
        <v>33625</v>
      </c>
    </row>
    <row r="502" ht="14.25">
      <c r="A502" s="3" t="s">
        <v>391</v>
      </c>
      <c r="B502" s="3" t="s">
        <v>514</v>
      </c>
      <c r="C502" s="3" t="s">
        <v>515</v>
      </c>
      <c r="D502" s="3" t="s">
        <v>17</v>
      </c>
      <c r="E502" s="3" t="s">
        <v>206</v>
      </c>
      <c r="F502" s="3" t="s">
        <v>19</v>
      </c>
      <c r="G502" s="4">
        <v>0</v>
      </c>
      <c r="H502" s="4">
        <v>2512320</v>
      </c>
      <c r="I502" s="3" t="s">
        <v>423</v>
      </c>
      <c r="J502" s="4">
        <v>20</v>
      </c>
      <c r="K502" s="3" t="s">
        <v>21</v>
      </c>
      <c r="L502" s="4">
        <v>837120</v>
      </c>
      <c r="M502" s="1">
        <f>O502*J502*K502</f>
        <v>0</v>
      </c>
      <c r="N502" s="3"/>
      <c r="O502" s="2">
        <f>L502/J502*(1-K502)</f>
        <v>41856</v>
      </c>
    </row>
    <row r="503" ht="14.25">
      <c r="A503" s="3" t="s">
        <v>391</v>
      </c>
      <c r="B503" s="3" t="s">
        <v>514</v>
      </c>
      <c r="C503" s="3" t="s">
        <v>515</v>
      </c>
      <c r="D503" s="3" t="s">
        <v>17</v>
      </c>
      <c r="E503" s="3" t="s">
        <v>206</v>
      </c>
      <c r="F503" s="3" t="s">
        <v>19</v>
      </c>
      <c r="G503" s="4">
        <v>0</v>
      </c>
      <c r="H503" s="4">
        <v>2512320</v>
      </c>
      <c r="I503" s="3" t="s">
        <v>467</v>
      </c>
      <c r="J503" s="4">
        <v>20</v>
      </c>
      <c r="K503" s="3" t="s">
        <v>21</v>
      </c>
      <c r="L503" s="4">
        <v>835200</v>
      </c>
      <c r="M503" s="1">
        <f>O503*J503*K503</f>
        <v>0</v>
      </c>
      <c r="N503" s="3"/>
      <c r="O503" s="2">
        <f>L503/J503*(1-K503)</f>
        <v>41760</v>
      </c>
    </row>
    <row r="504" ht="14.25">
      <c r="A504" s="3" t="s">
        <v>391</v>
      </c>
      <c r="B504" s="3" t="s">
        <v>514</v>
      </c>
      <c r="C504" s="3" t="s">
        <v>515</v>
      </c>
      <c r="D504" s="3" t="s">
        <v>17</v>
      </c>
      <c r="E504" s="3" t="s">
        <v>206</v>
      </c>
      <c r="F504" s="3" t="s">
        <v>19</v>
      </c>
      <c r="G504" s="4">
        <v>0</v>
      </c>
      <c r="H504" s="4">
        <v>2512320</v>
      </c>
      <c r="I504" s="3" t="s">
        <v>44</v>
      </c>
      <c r="J504" s="4">
        <v>24</v>
      </c>
      <c r="K504" s="3" t="s">
        <v>21</v>
      </c>
      <c r="L504" s="4">
        <v>840000</v>
      </c>
      <c r="M504" s="1">
        <f>O504*J504*K504</f>
        <v>0</v>
      </c>
      <c r="N504" s="3"/>
      <c r="O504" s="2">
        <f>L504/J504*(1-K504)</f>
        <v>35000</v>
      </c>
    </row>
    <row r="505" ht="14.25">
      <c r="A505" s="3" t="s">
        <v>406</v>
      </c>
      <c r="B505" s="3" t="s">
        <v>413</v>
      </c>
      <c r="C505" s="3" t="s">
        <v>516</v>
      </c>
      <c r="D505" s="3" t="s">
        <v>17</v>
      </c>
      <c r="E505" s="3" t="s">
        <v>31</v>
      </c>
      <c r="F505" s="3" t="s">
        <v>19</v>
      </c>
      <c r="G505" s="4">
        <v>0</v>
      </c>
      <c r="H505" s="4">
        <v>984000</v>
      </c>
      <c r="I505" s="3" t="s">
        <v>415</v>
      </c>
      <c r="J505" s="4">
        <v>6</v>
      </c>
      <c r="K505" s="3" t="s">
        <v>21</v>
      </c>
      <c r="L505" s="4">
        <v>216000</v>
      </c>
      <c r="M505" s="1">
        <f>O505*J505*K505</f>
        <v>0</v>
      </c>
      <c r="N505" s="3"/>
      <c r="O505" s="2">
        <f>L505/J505*(1-K505)</f>
        <v>36000</v>
      </c>
    </row>
    <row r="506" ht="14.25">
      <c r="A506" s="3" t="s">
        <v>406</v>
      </c>
      <c r="B506" s="3" t="s">
        <v>413</v>
      </c>
      <c r="C506" s="3" t="s">
        <v>516</v>
      </c>
      <c r="D506" s="3" t="s">
        <v>17</v>
      </c>
      <c r="E506" s="3" t="s">
        <v>31</v>
      </c>
      <c r="F506" s="3" t="s">
        <v>19</v>
      </c>
      <c r="G506" s="4">
        <v>0</v>
      </c>
      <c r="H506" s="4">
        <v>984000</v>
      </c>
      <c r="I506" s="3" t="s">
        <v>484</v>
      </c>
      <c r="J506" s="4">
        <v>6</v>
      </c>
      <c r="K506" s="3" t="s">
        <v>21</v>
      </c>
      <c r="L506" s="4">
        <v>240000</v>
      </c>
      <c r="M506" s="1">
        <f>O506*J506*K506</f>
        <v>0</v>
      </c>
      <c r="N506" s="3"/>
      <c r="O506" s="2">
        <f>L506/J506*(1-K506)</f>
        <v>40000</v>
      </c>
    </row>
    <row r="507" ht="14.25">
      <c r="A507" s="3" t="s">
        <v>406</v>
      </c>
      <c r="B507" s="3" t="s">
        <v>413</v>
      </c>
      <c r="C507" s="3" t="s">
        <v>516</v>
      </c>
      <c r="D507" s="3" t="s">
        <v>17</v>
      </c>
      <c r="E507" s="3" t="s">
        <v>31</v>
      </c>
      <c r="F507" s="3" t="s">
        <v>19</v>
      </c>
      <c r="G507" s="4">
        <v>0</v>
      </c>
      <c r="H507" s="4">
        <v>984000</v>
      </c>
      <c r="I507" s="3" t="s">
        <v>517</v>
      </c>
      <c r="J507" s="4">
        <v>12</v>
      </c>
      <c r="K507" s="3" t="s">
        <v>21</v>
      </c>
      <c r="L507" s="4">
        <v>528000</v>
      </c>
      <c r="M507" s="1">
        <f>O507*J507*K507</f>
        <v>0</v>
      </c>
      <c r="N507" s="3"/>
      <c r="O507" s="2">
        <f>L507/J507*(1-K507)</f>
        <v>44000</v>
      </c>
    </row>
    <row r="508" ht="14.25">
      <c r="A508" s="3" t="s">
        <v>406</v>
      </c>
      <c r="B508" s="3" t="s">
        <v>413</v>
      </c>
      <c r="C508" s="3" t="s">
        <v>518</v>
      </c>
      <c r="D508" s="3" t="s">
        <v>17</v>
      </c>
      <c r="E508" s="3" t="s">
        <v>519</v>
      </c>
      <c r="F508" s="3" t="s">
        <v>19</v>
      </c>
      <c r="G508" s="4">
        <v>0</v>
      </c>
      <c r="H508" s="4">
        <v>2670816</v>
      </c>
      <c r="I508" s="3" t="s">
        <v>126</v>
      </c>
      <c r="J508" s="4">
        <v>8</v>
      </c>
      <c r="K508" s="3" t="s">
        <v>21</v>
      </c>
      <c r="L508" s="4">
        <v>1936416</v>
      </c>
      <c r="M508" s="1">
        <f>O508*J508*K508</f>
        <v>0</v>
      </c>
      <c r="N508" s="3"/>
      <c r="O508" s="2">
        <f>L508/J508*(1-K508)</f>
        <v>242052</v>
      </c>
    </row>
    <row r="509" ht="14.25">
      <c r="A509" s="3" t="s">
        <v>406</v>
      </c>
      <c r="B509" s="3" t="s">
        <v>413</v>
      </c>
      <c r="C509" s="3" t="s">
        <v>518</v>
      </c>
      <c r="D509" s="3" t="s">
        <v>17</v>
      </c>
      <c r="E509" s="3" t="s">
        <v>519</v>
      </c>
      <c r="F509" s="3" t="s">
        <v>19</v>
      </c>
      <c r="G509" s="4">
        <v>0</v>
      </c>
      <c r="H509" s="4">
        <v>2670816</v>
      </c>
      <c r="I509" s="3" t="s">
        <v>223</v>
      </c>
      <c r="J509" s="4">
        <v>12</v>
      </c>
      <c r="K509" s="3" t="s">
        <v>21</v>
      </c>
      <c r="L509" s="4">
        <v>734400</v>
      </c>
      <c r="M509" s="1">
        <f>O509*J509*K509</f>
        <v>0</v>
      </c>
      <c r="N509" s="3"/>
      <c r="O509" s="2">
        <f>L509/J509*(1-K509)</f>
        <v>61200</v>
      </c>
    </row>
    <row r="510" ht="14.25">
      <c r="A510" s="3" t="s">
        <v>406</v>
      </c>
      <c r="B510" s="3" t="s">
        <v>413</v>
      </c>
      <c r="C510" s="3" t="s">
        <v>520</v>
      </c>
      <c r="D510" s="3" t="s">
        <v>17</v>
      </c>
      <c r="E510" s="3" t="s">
        <v>441</v>
      </c>
      <c r="F510" s="3" t="s">
        <v>19</v>
      </c>
      <c r="G510" s="4">
        <v>0</v>
      </c>
      <c r="H510" s="4">
        <v>8000000</v>
      </c>
      <c r="I510" s="3" t="s">
        <v>521</v>
      </c>
      <c r="J510" s="4">
        <v>1</v>
      </c>
      <c r="K510" s="3" t="s">
        <v>21</v>
      </c>
      <c r="L510" s="4">
        <v>8000000</v>
      </c>
      <c r="M510" s="1">
        <f>O510*J510*K510</f>
        <v>0</v>
      </c>
      <c r="N510" s="3"/>
      <c r="O510" s="2">
        <f>L510/J510*(1-K510)</f>
        <v>8000000</v>
      </c>
    </row>
    <row r="511" ht="14.25">
      <c r="A511" s="3" t="s">
        <v>406</v>
      </c>
      <c r="B511" s="3" t="s">
        <v>522</v>
      </c>
      <c r="C511" s="3" t="s">
        <v>523</v>
      </c>
      <c r="D511" s="3" t="s">
        <v>17</v>
      </c>
      <c r="E511" s="3" t="s">
        <v>439</v>
      </c>
      <c r="F511" s="3" t="s">
        <v>19</v>
      </c>
      <c r="G511" s="4">
        <v>0</v>
      </c>
      <c r="H511" s="4">
        <v>3400000</v>
      </c>
      <c r="I511" s="3" t="s">
        <v>89</v>
      </c>
      <c r="J511" s="4">
        <v>5</v>
      </c>
      <c r="K511" s="3" t="s">
        <v>21</v>
      </c>
      <c r="L511" s="4">
        <v>3400000</v>
      </c>
      <c r="M511" s="1">
        <f>O511*J511*K511</f>
        <v>0</v>
      </c>
      <c r="N511" s="3"/>
      <c r="O511" s="2">
        <f>L511/J511*(1-K511)</f>
        <v>680000</v>
      </c>
    </row>
    <row r="512" ht="14.25">
      <c r="A512" s="3" t="s">
        <v>406</v>
      </c>
      <c r="B512" s="3" t="s">
        <v>522</v>
      </c>
      <c r="C512" s="3" t="s">
        <v>524</v>
      </c>
      <c r="D512" s="3" t="s">
        <v>17</v>
      </c>
      <c r="E512" s="3" t="s">
        <v>389</v>
      </c>
      <c r="F512" s="3" t="s">
        <v>19</v>
      </c>
      <c r="G512" s="4">
        <v>0</v>
      </c>
      <c r="H512" s="4">
        <v>10515072</v>
      </c>
      <c r="I512" s="3" t="s">
        <v>66</v>
      </c>
      <c r="J512" s="4">
        <v>10</v>
      </c>
      <c r="K512" s="3" t="s">
        <v>21</v>
      </c>
      <c r="L512" s="4">
        <v>4277760</v>
      </c>
      <c r="M512" s="1">
        <f>O512*J512*K512</f>
        <v>0</v>
      </c>
      <c r="N512" s="3"/>
      <c r="O512" s="2">
        <f>L512/J512*(1-K512)</f>
        <v>427776</v>
      </c>
    </row>
    <row r="513" ht="14.25">
      <c r="A513" s="3" t="s">
        <v>406</v>
      </c>
      <c r="B513" s="3" t="s">
        <v>522</v>
      </c>
      <c r="C513" s="3" t="s">
        <v>524</v>
      </c>
      <c r="D513" s="3" t="s">
        <v>17</v>
      </c>
      <c r="E513" s="3" t="s">
        <v>389</v>
      </c>
      <c r="F513" s="3" t="s">
        <v>19</v>
      </c>
      <c r="G513" s="4">
        <v>0</v>
      </c>
      <c r="H513" s="4">
        <v>10515072</v>
      </c>
      <c r="I513" s="3" t="s">
        <v>54</v>
      </c>
      <c r="J513" s="4">
        <v>6</v>
      </c>
      <c r="K513" s="3" t="s">
        <v>21</v>
      </c>
      <c r="L513" s="4">
        <v>2502144</v>
      </c>
      <c r="M513" s="1">
        <f>O513*J513*K513</f>
        <v>0</v>
      </c>
      <c r="N513" s="3"/>
      <c r="O513" s="2">
        <f>L513/J513*(1-K513)</f>
        <v>417024</v>
      </c>
    </row>
    <row r="514" ht="14.25">
      <c r="A514" s="3" t="s">
        <v>406</v>
      </c>
      <c r="B514" s="3" t="s">
        <v>522</v>
      </c>
      <c r="C514" s="3" t="s">
        <v>524</v>
      </c>
      <c r="D514" s="3" t="s">
        <v>17</v>
      </c>
      <c r="E514" s="3" t="s">
        <v>389</v>
      </c>
      <c r="F514" s="3" t="s">
        <v>19</v>
      </c>
      <c r="G514" s="4">
        <v>0</v>
      </c>
      <c r="H514" s="4">
        <v>10515072</v>
      </c>
      <c r="I514" s="3" t="s">
        <v>38</v>
      </c>
      <c r="J514" s="4">
        <v>6</v>
      </c>
      <c r="K514" s="3" t="s">
        <v>21</v>
      </c>
      <c r="L514" s="4">
        <v>975168</v>
      </c>
      <c r="M514" s="1">
        <f>O514*J514*K514</f>
        <v>0</v>
      </c>
      <c r="N514" s="3"/>
      <c r="O514" s="2">
        <f>L514/J514*(1-K514)</f>
        <v>162528</v>
      </c>
    </row>
    <row r="515" ht="14.25">
      <c r="A515" s="3" t="s">
        <v>406</v>
      </c>
      <c r="B515" s="3" t="s">
        <v>522</v>
      </c>
      <c r="C515" s="3" t="s">
        <v>524</v>
      </c>
      <c r="D515" s="3" t="s">
        <v>17</v>
      </c>
      <c r="E515" s="3" t="s">
        <v>389</v>
      </c>
      <c r="F515" s="3" t="s">
        <v>19</v>
      </c>
      <c r="G515" s="4">
        <v>0</v>
      </c>
      <c r="H515" s="4">
        <v>10515072</v>
      </c>
      <c r="I515" s="3" t="s">
        <v>57</v>
      </c>
      <c r="J515" s="4">
        <v>120</v>
      </c>
      <c r="K515" s="3" t="s">
        <v>21</v>
      </c>
      <c r="L515" s="4">
        <v>2760000</v>
      </c>
      <c r="M515" s="1">
        <f>O515*J515*K515</f>
        <v>0</v>
      </c>
      <c r="N515" s="3"/>
      <c r="O515" s="2">
        <f>L515/J515*(1-K515)</f>
        <v>23000</v>
      </c>
    </row>
    <row r="516" ht="14.25">
      <c r="A516" s="3" t="s">
        <v>406</v>
      </c>
      <c r="B516" s="3" t="s">
        <v>413</v>
      </c>
      <c r="C516" s="3" t="s">
        <v>525</v>
      </c>
      <c r="D516" s="3" t="s">
        <v>17</v>
      </c>
      <c r="E516" s="3" t="s">
        <v>228</v>
      </c>
      <c r="F516" s="3" t="s">
        <v>19</v>
      </c>
      <c r="G516" s="4">
        <v>0</v>
      </c>
      <c r="H516" s="4">
        <v>600000</v>
      </c>
      <c r="I516" s="3" t="s">
        <v>29</v>
      </c>
      <c r="J516" s="4">
        <v>1</v>
      </c>
      <c r="K516" s="3" t="s">
        <v>21</v>
      </c>
      <c r="L516" s="4">
        <v>600000</v>
      </c>
      <c r="M516" s="1">
        <f>O516*J516*K516</f>
        <v>0</v>
      </c>
      <c r="N516" s="3"/>
      <c r="O516" s="2">
        <f>L516/J516*(1-K516)</f>
        <v>600000</v>
      </c>
    </row>
    <row r="517" ht="14.25">
      <c r="A517" s="3" t="s">
        <v>406</v>
      </c>
      <c r="B517" s="3" t="s">
        <v>413</v>
      </c>
      <c r="C517" s="3" t="s">
        <v>526</v>
      </c>
      <c r="D517" s="3" t="s">
        <v>17</v>
      </c>
      <c r="E517" s="3" t="s">
        <v>143</v>
      </c>
      <c r="F517" s="3" t="s">
        <v>19</v>
      </c>
      <c r="G517" s="4">
        <v>0</v>
      </c>
      <c r="H517" s="4">
        <v>2000000</v>
      </c>
      <c r="I517" s="3" t="s">
        <v>90</v>
      </c>
      <c r="J517" s="4">
        <v>4</v>
      </c>
      <c r="K517" s="3" t="s">
        <v>21</v>
      </c>
      <c r="L517" s="4">
        <v>2000000</v>
      </c>
      <c r="M517" s="1">
        <f>O517*J517*K517</f>
        <v>0</v>
      </c>
      <c r="N517" s="3"/>
      <c r="O517" s="2">
        <f>L517/J517*(1-K517)</f>
        <v>500000</v>
      </c>
    </row>
    <row r="518" ht="14.25">
      <c r="A518" s="3" t="s">
        <v>406</v>
      </c>
      <c r="B518" s="3" t="s">
        <v>522</v>
      </c>
      <c r="C518" s="3" t="s">
        <v>527</v>
      </c>
      <c r="D518" s="3" t="s">
        <v>17</v>
      </c>
      <c r="E518" s="3" t="s">
        <v>168</v>
      </c>
      <c r="F518" s="3" t="s">
        <v>19</v>
      </c>
      <c r="G518" s="4">
        <v>0</v>
      </c>
      <c r="H518" s="4">
        <v>1811888</v>
      </c>
      <c r="I518" s="3" t="s">
        <v>180</v>
      </c>
      <c r="J518" s="4">
        <v>12</v>
      </c>
      <c r="K518" s="3" t="s">
        <v>21</v>
      </c>
      <c r="L518" s="4">
        <v>453888</v>
      </c>
      <c r="M518" s="1">
        <f>O518*J518*K518</f>
        <v>0</v>
      </c>
      <c r="N518" s="3"/>
      <c r="O518" s="2">
        <f>L518/J518*(1-K518)</f>
        <v>37824</v>
      </c>
    </row>
    <row r="519" ht="14.25">
      <c r="A519" s="3" t="s">
        <v>406</v>
      </c>
      <c r="B519" s="3" t="s">
        <v>522</v>
      </c>
      <c r="C519" s="3" t="s">
        <v>527</v>
      </c>
      <c r="D519" s="3" t="s">
        <v>17</v>
      </c>
      <c r="E519" s="3" t="s">
        <v>168</v>
      </c>
      <c r="F519" s="3" t="s">
        <v>19</v>
      </c>
      <c r="G519" s="4">
        <v>0</v>
      </c>
      <c r="H519" s="4">
        <v>1811888</v>
      </c>
      <c r="I519" s="3" t="s">
        <v>415</v>
      </c>
      <c r="J519" s="4">
        <v>12</v>
      </c>
      <c r="K519" s="3" t="s">
        <v>21</v>
      </c>
      <c r="L519" s="4">
        <v>432000</v>
      </c>
      <c r="M519" s="1">
        <f>O519*J519*K519</f>
        <v>0</v>
      </c>
      <c r="N519" s="3"/>
      <c r="O519" s="2">
        <f>L519/J519*(1-K519)</f>
        <v>36000</v>
      </c>
    </row>
    <row r="520" ht="14.25">
      <c r="A520" s="3" t="s">
        <v>406</v>
      </c>
      <c r="B520" s="3" t="s">
        <v>522</v>
      </c>
      <c r="C520" s="3" t="s">
        <v>527</v>
      </c>
      <c r="D520" s="3" t="s">
        <v>17</v>
      </c>
      <c r="E520" s="3" t="s">
        <v>168</v>
      </c>
      <c r="F520" s="3" t="s">
        <v>19</v>
      </c>
      <c r="G520" s="4">
        <v>0</v>
      </c>
      <c r="H520" s="4">
        <v>1811888</v>
      </c>
      <c r="I520" s="3" t="s">
        <v>124</v>
      </c>
      <c r="J520" s="4">
        <v>12</v>
      </c>
      <c r="K520" s="3" t="s">
        <v>21</v>
      </c>
      <c r="L520" s="4">
        <v>276000</v>
      </c>
      <c r="M520" s="1">
        <f>O520*J520*K520</f>
        <v>0</v>
      </c>
      <c r="N520" s="3"/>
      <c r="O520" s="2">
        <f>L520/J520*(1-K520)</f>
        <v>23000</v>
      </c>
    </row>
    <row r="521" ht="14.25">
      <c r="A521" s="3" t="s">
        <v>406</v>
      </c>
      <c r="B521" s="3" t="s">
        <v>522</v>
      </c>
      <c r="C521" s="3" t="s">
        <v>527</v>
      </c>
      <c r="D521" s="3" t="s">
        <v>17</v>
      </c>
      <c r="E521" s="3" t="s">
        <v>168</v>
      </c>
      <c r="F521" s="3" t="s">
        <v>19</v>
      </c>
      <c r="G521" s="4">
        <v>0</v>
      </c>
      <c r="H521" s="4">
        <v>1811888</v>
      </c>
      <c r="I521" s="3" t="s">
        <v>417</v>
      </c>
      <c r="J521" s="4">
        <v>4</v>
      </c>
      <c r="K521" s="3" t="s">
        <v>21</v>
      </c>
      <c r="L521" s="4">
        <v>650000</v>
      </c>
      <c r="M521" s="1">
        <f>O521*J521*K521</f>
        <v>0</v>
      </c>
      <c r="N521" s="3"/>
      <c r="O521" s="2">
        <f>L521/J521*(1-K521)</f>
        <v>162500</v>
      </c>
    </row>
    <row r="522" ht="14.25">
      <c r="A522" s="3" t="s">
        <v>406</v>
      </c>
      <c r="B522" s="3" t="s">
        <v>413</v>
      </c>
      <c r="C522" s="3" t="s">
        <v>528</v>
      </c>
      <c r="D522" s="3" t="s">
        <v>17</v>
      </c>
      <c r="E522" s="3" t="s">
        <v>360</v>
      </c>
      <c r="F522" s="3" t="s">
        <v>19</v>
      </c>
      <c r="G522" s="4">
        <v>0</v>
      </c>
      <c r="H522" s="4">
        <v>540000</v>
      </c>
      <c r="I522" s="3" t="s">
        <v>32</v>
      </c>
      <c r="J522" s="4">
        <v>24</v>
      </c>
      <c r="K522" s="3" t="s">
        <v>21</v>
      </c>
      <c r="L522" s="4">
        <v>540000</v>
      </c>
      <c r="M522" s="1">
        <f>O522*J522*K522</f>
        <v>0</v>
      </c>
      <c r="N522" s="3"/>
      <c r="O522" s="2">
        <f>L522/J522*(1-K522)</f>
        <v>22500</v>
      </c>
    </row>
    <row r="523" ht="14.25">
      <c r="A523" s="3" t="s">
        <v>406</v>
      </c>
      <c r="B523" s="3" t="s">
        <v>413</v>
      </c>
      <c r="C523" s="3" t="s">
        <v>529</v>
      </c>
      <c r="D523" s="3" t="s">
        <v>17</v>
      </c>
      <c r="E523" s="3" t="s">
        <v>34</v>
      </c>
      <c r="F523" s="3" t="s">
        <v>19</v>
      </c>
      <c r="G523" s="4">
        <v>0</v>
      </c>
      <c r="H523" s="4">
        <v>16122320</v>
      </c>
      <c r="I523" s="3" t="s">
        <v>39</v>
      </c>
      <c r="J523" s="4">
        <v>1</v>
      </c>
      <c r="K523" s="3" t="s">
        <v>21</v>
      </c>
      <c r="L523" s="4">
        <v>3200000</v>
      </c>
      <c r="M523" s="1">
        <f>O523*J523*K523</f>
        <v>0</v>
      </c>
      <c r="N523" s="3"/>
      <c r="O523" s="2">
        <f>L523/J523*(1-K523)</f>
        <v>3200000</v>
      </c>
    </row>
    <row r="524" ht="14.25">
      <c r="A524" s="3" t="s">
        <v>406</v>
      </c>
      <c r="B524" s="3" t="s">
        <v>413</v>
      </c>
      <c r="C524" s="3" t="s">
        <v>529</v>
      </c>
      <c r="D524" s="3" t="s">
        <v>17</v>
      </c>
      <c r="E524" s="3" t="s">
        <v>34</v>
      </c>
      <c r="F524" s="3" t="s">
        <v>19</v>
      </c>
      <c r="G524" s="4">
        <v>0</v>
      </c>
      <c r="H524" s="4">
        <v>16122320</v>
      </c>
      <c r="I524" s="3" t="s">
        <v>82</v>
      </c>
      <c r="J524" s="4">
        <v>2</v>
      </c>
      <c r="K524" s="3" t="s">
        <v>21</v>
      </c>
      <c r="L524" s="4">
        <v>7100000</v>
      </c>
      <c r="M524" s="1">
        <f>O524*J524*K524</f>
        <v>0</v>
      </c>
      <c r="N524" s="3"/>
      <c r="O524" s="2">
        <f>L524/J524*(1-K524)</f>
        <v>3550000</v>
      </c>
    </row>
    <row r="525" ht="14.25">
      <c r="A525" s="3" t="s">
        <v>406</v>
      </c>
      <c r="B525" s="3" t="s">
        <v>413</v>
      </c>
      <c r="C525" s="3" t="s">
        <v>529</v>
      </c>
      <c r="D525" s="3" t="s">
        <v>17</v>
      </c>
      <c r="E525" s="3" t="s">
        <v>34</v>
      </c>
      <c r="F525" s="3" t="s">
        <v>19</v>
      </c>
      <c r="G525" s="4">
        <v>0</v>
      </c>
      <c r="H525" s="4">
        <v>16122320</v>
      </c>
      <c r="I525" s="3" t="s">
        <v>57</v>
      </c>
      <c r="J525" s="4">
        <v>24</v>
      </c>
      <c r="K525" s="3" t="s">
        <v>21</v>
      </c>
      <c r="L525" s="4">
        <v>528000</v>
      </c>
      <c r="M525" s="1">
        <f>O525*J525*K525</f>
        <v>0</v>
      </c>
      <c r="N525" s="3"/>
      <c r="O525" s="2">
        <f>L525/J525*(1-K525)</f>
        <v>22000</v>
      </c>
    </row>
    <row r="526" ht="14.25">
      <c r="A526" s="3" t="s">
        <v>406</v>
      </c>
      <c r="B526" s="3" t="s">
        <v>413</v>
      </c>
      <c r="C526" s="3" t="s">
        <v>529</v>
      </c>
      <c r="D526" s="3" t="s">
        <v>17</v>
      </c>
      <c r="E526" s="3" t="s">
        <v>34</v>
      </c>
      <c r="F526" s="3" t="s">
        <v>19</v>
      </c>
      <c r="G526" s="4">
        <v>0</v>
      </c>
      <c r="H526" s="4">
        <v>16122320</v>
      </c>
      <c r="I526" s="3" t="s">
        <v>35</v>
      </c>
      <c r="J526" s="4">
        <v>1</v>
      </c>
      <c r="K526" s="3" t="s">
        <v>21</v>
      </c>
      <c r="L526" s="4">
        <v>3550000</v>
      </c>
      <c r="M526" s="1">
        <f>O526*J526*K526</f>
        <v>0</v>
      </c>
      <c r="N526" s="3"/>
      <c r="O526" s="2">
        <f>L526/J526*(1-K526)</f>
        <v>3550000</v>
      </c>
    </row>
    <row r="527" ht="14.25">
      <c r="A527" s="3" t="s">
        <v>406</v>
      </c>
      <c r="B527" s="3" t="s">
        <v>413</v>
      </c>
      <c r="C527" s="3" t="s">
        <v>529</v>
      </c>
      <c r="D527" s="3" t="s">
        <v>17</v>
      </c>
      <c r="E527" s="3" t="s">
        <v>34</v>
      </c>
      <c r="F527" s="3" t="s">
        <v>19</v>
      </c>
      <c r="G527" s="4">
        <v>0</v>
      </c>
      <c r="H527" s="4">
        <v>16122320</v>
      </c>
      <c r="I527" s="3" t="s">
        <v>197</v>
      </c>
      <c r="J527" s="4">
        <v>40</v>
      </c>
      <c r="K527" s="3" t="s">
        <v>21</v>
      </c>
      <c r="L527" s="4">
        <v>1744320</v>
      </c>
      <c r="M527" s="1">
        <f>O527*J527*K527</f>
        <v>0</v>
      </c>
      <c r="N527" s="3"/>
      <c r="O527" s="2">
        <f>L527/J527*(1-K527)</f>
        <v>43608</v>
      </c>
    </row>
    <row r="528" ht="14.25">
      <c r="A528" s="3" t="s">
        <v>406</v>
      </c>
      <c r="B528" s="3" t="s">
        <v>406</v>
      </c>
      <c r="C528" s="3" t="s">
        <v>530</v>
      </c>
      <c r="D528" s="3" t="s">
        <v>17</v>
      </c>
      <c r="E528" s="3" t="s">
        <v>531</v>
      </c>
      <c r="F528" s="3" t="s">
        <v>19</v>
      </c>
      <c r="G528" s="4">
        <v>0</v>
      </c>
      <c r="H528" s="4">
        <v>350000</v>
      </c>
      <c r="I528" s="3" t="s">
        <v>393</v>
      </c>
      <c r="J528" s="4">
        <v>1</v>
      </c>
      <c r="K528" s="3" t="s">
        <v>21</v>
      </c>
      <c r="L528" s="4">
        <v>350000</v>
      </c>
      <c r="M528" s="1">
        <f>O528*J528*K528</f>
        <v>0</v>
      </c>
      <c r="N528" s="3"/>
      <c r="O528" s="2">
        <f>L528/J528*(1-K528)</f>
        <v>350000</v>
      </c>
    </row>
    <row r="529" ht="14.25">
      <c r="A529" s="3" t="s">
        <v>426</v>
      </c>
      <c r="B529" s="3" t="s">
        <v>532</v>
      </c>
      <c r="C529" s="3" t="s">
        <v>533</v>
      </c>
      <c r="D529" s="3" t="s">
        <v>17</v>
      </c>
      <c r="E529" s="3" t="s">
        <v>351</v>
      </c>
      <c r="F529" s="3" t="s">
        <v>19</v>
      </c>
      <c r="G529" s="4">
        <v>0</v>
      </c>
      <c r="H529" s="4">
        <v>32924000</v>
      </c>
      <c r="I529" s="3" t="s">
        <v>86</v>
      </c>
      <c r="J529" s="4">
        <v>5</v>
      </c>
      <c r="K529" s="3" t="s">
        <v>21</v>
      </c>
      <c r="L529" s="4">
        <v>26500000</v>
      </c>
      <c r="M529" s="1">
        <f>O529*J529*K529</f>
        <v>0</v>
      </c>
      <c r="N529" s="3"/>
      <c r="O529" s="2">
        <f>L529/J529*(1-K529)</f>
        <v>5300000</v>
      </c>
    </row>
    <row r="530" ht="14.25">
      <c r="A530" s="3" t="s">
        <v>426</v>
      </c>
      <c r="B530" s="3" t="s">
        <v>532</v>
      </c>
      <c r="C530" s="3" t="s">
        <v>533</v>
      </c>
      <c r="D530" s="3" t="s">
        <v>17</v>
      </c>
      <c r="E530" s="3" t="s">
        <v>351</v>
      </c>
      <c r="F530" s="3" t="s">
        <v>19</v>
      </c>
      <c r="G530" s="4">
        <v>0</v>
      </c>
      <c r="H530" s="4">
        <v>32924000</v>
      </c>
      <c r="I530" s="3" t="s">
        <v>82</v>
      </c>
      <c r="J530" s="4">
        <v>1</v>
      </c>
      <c r="K530" s="3" t="s">
        <v>21</v>
      </c>
      <c r="L530" s="4">
        <v>4000000</v>
      </c>
      <c r="M530" s="1">
        <f>O530*J530*K530</f>
        <v>0</v>
      </c>
      <c r="N530" s="3"/>
      <c r="O530" s="2">
        <f>L530/J530*(1-K530)</f>
        <v>4000000</v>
      </c>
    </row>
    <row r="531" ht="14.25">
      <c r="A531" s="3" t="s">
        <v>426</v>
      </c>
      <c r="B531" s="3" t="s">
        <v>532</v>
      </c>
      <c r="C531" s="3" t="s">
        <v>533</v>
      </c>
      <c r="D531" s="3" t="s">
        <v>17</v>
      </c>
      <c r="E531" s="3" t="s">
        <v>351</v>
      </c>
      <c r="F531" s="3" t="s">
        <v>19</v>
      </c>
      <c r="G531" s="4">
        <v>0</v>
      </c>
      <c r="H531" s="4">
        <v>32924000</v>
      </c>
      <c r="I531" s="3" t="s">
        <v>534</v>
      </c>
      <c r="J531" s="4">
        <v>5</v>
      </c>
      <c r="K531" s="3" t="s">
        <v>21</v>
      </c>
      <c r="L531" s="4">
        <v>900000</v>
      </c>
      <c r="M531" s="1">
        <f>O531*J531*K531</f>
        <v>0</v>
      </c>
      <c r="N531" s="3"/>
      <c r="O531" s="2">
        <f>L531/J531*(1-K531)</f>
        <v>180000</v>
      </c>
    </row>
    <row r="532" ht="14.25">
      <c r="A532" s="3" t="s">
        <v>426</v>
      </c>
      <c r="B532" s="3" t="s">
        <v>532</v>
      </c>
      <c r="C532" s="3" t="s">
        <v>533</v>
      </c>
      <c r="D532" s="3" t="s">
        <v>17</v>
      </c>
      <c r="E532" s="3" t="s">
        <v>351</v>
      </c>
      <c r="F532" s="3" t="s">
        <v>19</v>
      </c>
      <c r="G532" s="4">
        <v>0</v>
      </c>
      <c r="H532" s="4">
        <v>32924000</v>
      </c>
      <c r="I532" s="3" t="s">
        <v>341</v>
      </c>
      <c r="J532" s="4">
        <v>24</v>
      </c>
      <c r="K532" s="3" t="s">
        <v>21</v>
      </c>
      <c r="L532" s="4">
        <v>1320000</v>
      </c>
      <c r="M532" s="1">
        <f>O532*J532*K532</f>
        <v>0</v>
      </c>
      <c r="N532" s="3"/>
      <c r="O532" s="2">
        <f>L532/J532*(1-K532)</f>
        <v>55000</v>
      </c>
    </row>
    <row r="533" ht="14.25">
      <c r="A533" s="3" t="s">
        <v>426</v>
      </c>
      <c r="B533" s="3" t="s">
        <v>532</v>
      </c>
      <c r="C533" s="3" t="s">
        <v>533</v>
      </c>
      <c r="D533" s="3" t="s">
        <v>17</v>
      </c>
      <c r="E533" s="3" t="s">
        <v>351</v>
      </c>
      <c r="F533" s="3" t="s">
        <v>19</v>
      </c>
      <c r="G533" s="4">
        <v>0</v>
      </c>
      <c r="H533" s="4">
        <v>32924000</v>
      </c>
      <c r="I533" s="3" t="s">
        <v>535</v>
      </c>
      <c r="J533" s="4">
        <v>12</v>
      </c>
      <c r="K533" s="3" t="s">
        <v>21</v>
      </c>
      <c r="L533" s="4">
        <v>204000</v>
      </c>
      <c r="M533" s="1">
        <f>O533*J533*K533</f>
        <v>0</v>
      </c>
      <c r="N533" s="3"/>
      <c r="O533" s="2">
        <f>L533/J533*(1-K533)</f>
        <v>17000</v>
      </c>
    </row>
    <row r="534" ht="14.25">
      <c r="A534" s="3" t="s">
        <v>426</v>
      </c>
      <c r="B534" s="3" t="s">
        <v>532</v>
      </c>
      <c r="C534" s="3" t="s">
        <v>536</v>
      </c>
      <c r="D534" s="3" t="s">
        <v>17</v>
      </c>
      <c r="E534" s="3" t="s">
        <v>214</v>
      </c>
      <c r="F534" s="3" t="s">
        <v>19</v>
      </c>
      <c r="G534" s="4">
        <v>0</v>
      </c>
      <c r="H534" s="4">
        <v>16000000</v>
      </c>
      <c r="I534" s="3" t="s">
        <v>66</v>
      </c>
      <c r="J534" s="4">
        <v>40</v>
      </c>
      <c r="K534" s="3" t="s">
        <v>21</v>
      </c>
      <c r="L534" s="4">
        <v>16000000</v>
      </c>
      <c r="M534" s="1">
        <f>O534*J534*K534</f>
        <v>0</v>
      </c>
      <c r="N534" s="3"/>
      <c r="O534" s="2">
        <f>L534/J534*(1-K534)</f>
        <v>400000</v>
      </c>
    </row>
    <row r="535" ht="14.25">
      <c r="A535" s="3" t="s">
        <v>426</v>
      </c>
      <c r="B535" s="3" t="s">
        <v>532</v>
      </c>
      <c r="C535" s="3" t="s">
        <v>537</v>
      </c>
      <c r="D535" s="3" t="s">
        <v>17</v>
      </c>
      <c r="E535" s="3" t="s">
        <v>346</v>
      </c>
      <c r="F535" s="3" t="s">
        <v>19</v>
      </c>
      <c r="G535" s="4">
        <v>0</v>
      </c>
      <c r="H535" s="4">
        <v>83900000</v>
      </c>
      <c r="I535" s="3" t="s">
        <v>538</v>
      </c>
      <c r="J535" s="4">
        <v>2</v>
      </c>
      <c r="K535" s="3" t="s">
        <v>21</v>
      </c>
      <c r="L535" s="4">
        <v>12000000</v>
      </c>
      <c r="M535" s="1">
        <f>O535*J535*K535</f>
        <v>0</v>
      </c>
      <c r="N535" s="3"/>
      <c r="O535" s="2">
        <f>L535/J535*(1-K535)</f>
        <v>6000000</v>
      </c>
    </row>
    <row r="536" ht="14.25">
      <c r="A536" s="3" t="s">
        <v>426</v>
      </c>
      <c r="B536" s="3" t="s">
        <v>532</v>
      </c>
      <c r="C536" s="3" t="s">
        <v>537</v>
      </c>
      <c r="D536" s="3" t="s">
        <v>17</v>
      </c>
      <c r="E536" s="3" t="s">
        <v>346</v>
      </c>
      <c r="F536" s="3" t="s">
        <v>19</v>
      </c>
      <c r="G536" s="4">
        <v>0</v>
      </c>
      <c r="H536" s="4">
        <v>83900000</v>
      </c>
      <c r="I536" s="3" t="s">
        <v>539</v>
      </c>
      <c r="J536" s="4">
        <v>1</v>
      </c>
      <c r="K536" s="3" t="s">
        <v>21</v>
      </c>
      <c r="L536" s="4">
        <v>6000000</v>
      </c>
      <c r="M536" s="1">
        <f>O536*J536*K536</f>
        <v>0</v>
      </c>
      <c r="N536" s="3"/>
      <c r="O536" s="2">
        <f>L536/J536*(1-K536)</f>
        <v>6000000</v>
      </c>
    </row>
    <row r="537" ht="14.25">
      <c r="A537" s="3" t="s">
        <v>426</v>
      </c>
      <c r="B537" s="3" t="s">
        <v>532</v>
      </c>
      <c r="C537" s="3" t="s">
        <v>537</v>
      </c>
      <c r="D537" s="3" t="s">
        <v>17</v>
      </c>
      <c r="E537" s="3" t="s">
        <v>346</v>
      </c>
      <c r="F537" s="3" t="s">
        <v>19</v>
      </c>
      <c r="G537" s="4">
        <v>0</v>
      </c>
      <c r="H537" s="4">
        <v>83900000</v>
      </c>
      <c r="I537" s="3" t="s">
        <v>540</v>
      </c>
      <c r="J537" s="4">
        <v>2</v>
      </c>
      <c r="K537" s="3" t="s">
        <v>21</v>
      </c>
      <c r="L537" s="4">
        <v>12000000</v>
      </c>
      <c r="M537" s="1">
        <f>O537*J537*K537</f>
        <v>0</v>
      </c>
      <c r="N537" s="3"/>
      <c r="O537" s="2">
        <f>L537/J537*(1-K537)</f>
        <v>6000000</v>
      </c>
    </row>
    <row r="538" ht="14.25">
      <c r="A538" s="3" t="s">
        <v>426</v>
      </c>
      <c r="B538" s="3" t="s">
        <v>532</v>
      </c>
      <c r="C538" s="3" t="s">
        <v>537</v>
      </c>
      <c r="D538" s="3" t="s">
        <v>17</v>
      </c>
      <c r="E538" s="3" t="s">
        <v>346</v>
      </c>
      <c r="F538" s="3" t="s">
        <v>19</v>
      </c>
      <c r="G538" s="4">
        <v>0</v>
      </c>
      <c r="H538" s="4">
        <v>83900000</v>
      </c>
      <c r="I538" s="3" t="s">
        <v>154</v>
      </c>
      <c r="J538" s="4">
        <v>5</v>
      </c>
      <c r="K538" s="3" t="s">
        <v>21</v>
      </c>
      <c r="L538" s="4">
        <v>25500000</v>
      </c>
      <c r="M538" s="1">
        <f>O538*J538*K538</f>
        <v>0</v>
      </c>
      <c r="N538" s="3"/>
      <c r="O538" s="2">
        <f>L538/J538*(1-K538)</f>
        <v>5100000</v>
      </c>
    </row>
    <row r="539" ht="14.25">
      <c r="A539" s="3" t="s">
        <v>426</v>
      </c>
      <c r="B539" s="3" t="s">
        <v>532</v>
      </c>
      <c r="C539" s="3" t="s">
        <v>537</v>
      </c>
      <c r="D539" s="3" t="s">
        <v>17</v>
      </c>
      <c r="E539" s="3" t="s">
        <v>346</v>
      </c>
      <c r="F539" s="3" t="s">
        <v>19</v>
      </c>
      <c r="G539" s="4">
        <v>0</v>
      </c>
      <c r="H539" s="4">
        <v>83900000</v>
      </c>
      <c r="I539" s="3" t="s">
        <v>541</v>
      </c>
      <c r="J539" s="4">
        <v>4</v>
      </c>
      <c r="K539" s="3" t="s">
        <v>21</v>
      </c>
      <c r="L539" s="4">
        <v>22400000</v>
      </c>
      <c r="M539" s="1">
        <f>O539*J539*K539</f>
        <v>0</v>
      </c>
      <c r="N539" s="3"/>
      <c r="O539" s="2">
        <f>L539/J539*(1-K539)</f>
        <v>5600000</v>
      </c>
    </row>
    <row r="540" ht="14.25">
      <c r="A540" s="3" t="s">
        <v>426</v>
      </c>
      <c r="B540" s="3" t="s">
        <v>532</v>
      </c>
      <c r="C540" s="3" t="s">
        <v>537</v>
      </c>
      <c r="D540" s="3" t="s">
        <v>17</v>
      </c>
      <c r="E540" s="3" t="s">
        <v>346</v>
      </c>
      <c r="F540" s="3" t="s">
        <v>19</v>
      </c>
      <c r="G540" s="4">
        <v>0</v>
      </c>
      <c r="H540" s="4">
        <v>83900000</v>
      </c>
      <c r="I540" s="3" t="s">
        <v>542</v>
      </c>
      <c r="J540" s="4">
        <v>1</v>
      </c>
      <c r="K540" s="3" t="s">
        <v>21</v>
      </c>
      <c r="L540" s="4">
        <v>6000000</v>
      </c>
      <c r="M540" s="1">
        <f>O540*J540*K540</f>
        <v>0</v>
      </c>
      <c r="N540" s="3"/>
      <c r="O540" s="2">
        <f>L540/J540*(1-K540)</f>
        <v>6000000</v>
      </c>
    </row>
    <row r="541" ht="14.25">
      <c r="A541" s="3" t="s">
        <v>426</v>
      </c>
      <c r="B541" s="3" t="s">
        <v>532</v>
      </c>
      <c r="C541" s="3" t="s">
        <v>543</v>
      </c>
      <c r="D541" s="3" t="s">
        <v>17</v>
      </c>
      <c r="E541" s="3" t="s">
        <v>23</v>
      </c>
      <c r="F541" s="3" t="s">
        <v>19</v>
      </c>
      <c r="G541" s="4">
        <v>0</v>
      </c>
      <c r="H541" s="4">
        <v>8200000</v>
      </c>
      <c r="I541" s="3" t="s">
        <v>102</v>
      </c>
      <c r="J541" s="4">
        <v>4</v>
      </c>
      <c r="K541" s="3" t="s">
        <v>21</v>
      </c>
      <c r="L541" s="4">
        <v>8200000</v>
      </c>
      <c r="M541" s="1">
        <f>O541*J541*K541</f>
        <v>0</v>
      </c>
      <c r="N541" s="3"/>
      <c r="O541" s="2">
        <f>L541/J541*(1-K541)</f>
        <v>2050000</v>
      </c>
    </row>
    <row r="542" ht="14.25">
      <c r="A542" s="3" t="s">
        <v>426</v>
      </c>
      <c r="B542" s="3" t="s">
        <v>532</v>
      </c>
      <c r="C542" s="3" t="s">
        <v>544</v>
      </c>
      <c r="D542" s="3" t="s">
        <v>17</v>
      </c>
      <c r="E542" s="3" t="s">
        <v>252</v>
      </c>
      <c r="F542" s="3" t="s">
        <v>19</v>
      </c>
      <c r="G542" s="4">
        <v>0</v>
      </c>
      <c r="H542" s="4">
        <v>4400000</v>
      </c>
      <c r="I542" s="3" t="s">
        <v>545</v>
      </c>
      <c r="J542" s="4">
        <v>1</v>
      </c>
      <c r="K542" s="3" t="s">
        <v>21</v>
      </c>
      <c r="L542" s="4">
        <v>4400000</v>
      </c>
      <c r="M542" s="1">
        <f>O542*J542*K542</f>
        <v>0</v>
      </c>
      <c r="N542" s="3"/>
      <c r="O542" s="2">
        <f>L542/J542*(1-K542)</f>
        <v>4400000</v>
      </c>
    </row>
    <row r="543" ht="14.25">
      <c r="A543" s="3" t="s">
        <v>426</v>
      </c>
      <c r="B543" s="3" t="s">
        <v>532</v>
      </c>
      <c r="C543" s="3" t="s">
        <v>546</v>
      </c>
      <c r="D543" s="3" t="s">
        <v>17</v>
      </c>
      <c r="E543" s="3" t="s">
        <v>309</v>
      </c>
      <c r="F543" s="3" t="s">
        <v>19</v>
      </c>
      <c r="G543" s="4">
        <v>0</v>
      </c>
      <c r="H543" s="4">
        <v>4140000</v>
      </c>
      <c r="I543" s="3" t="s">
        <v>79</v>
      </c>
      <c r="J543" s="4">
        <v>2</v>
      </c>
      <c r="K543" s="3" t="s">
        <v>21</v>
      </c>
      <c r="L543" s="4">
        <v>1280000</v>
      </c>
      <c r="M543" s="1">
        <f>O543*J543*K543</f>
        <v>0</v>
      </c>
      <c r="N543" s="3"/>
      <c r="O543" s="2">
        <f>L543/J543*(1-K543)</f>
        <v>640000</v>
      </c>
    </row>
    <row r="544" ht="14.25">
      <c r="A544" s="3" t="s">
        <v>426</v>
      </c>
      <c r="B544" s="3" t="s">
        <v>532</v>
      </c>
      <c r="C544" s="3" t="s">
        <v>546</v>
      </c>
      <c r="D544" s="3" t="s">
        <v>17</v>
      </c>
      <c r="E544" s="3" t="s">
        <v>309</v>
      </c>
      <c r="F544" s="3" t="s">
        <v>19</v>
      </c>
      <c r="G544" s="4">
        <v>0</v>
      </c>
      <c r="H544" s="4">
        <v>4140000</v>
      </c>
      <c r="I544" s="3" t="s">
        <v>172</v>
      </c>
      <c r="J544" s="4">
        <v>3</v>
      </c>
      <c r="K544" s="3" t="s">
        <v>21</v>
      </c>
      <c r="L544" s="4">
        <v>1920000</v>
      </c>
      <c r="M544" s="1">
        <f>O544*J544*K544</f>
        <v>0</v>
      </c>
      <c r="N544" s="3"/>
      <c r="O544" s="2">
        <f>L544/J544*(1-K544)</f>
        <v>640000</v>
      </c>
    </row>
    <row r="545" ht="14.25">
      <c r="A545" s="3" t="s">
        <v>426</v>
      </c>
      <c r="B545" s="3" t="s">
        <v>532</v>
      </c>
      <c r="C545" s="3" t="s">
        <v>546</v>
      </c>
      <c r="D545" s="3" t="s">
        <v>17</v>
      </c>
      <c r="E545" s="3" t="s">
        <v>309</v>
      </c>
      <c r="F545" s="3" t="s">
        <v>19</v>
      </c>
      <c r="G545" s="4">
        <v>0</v>
      </c>
      <c r="H545" s="4">
        <v>4140000</v>
      </c>
      <c r="I545" s="3" t="s">
        <v>58</v>
      </c>
      <c r="J545" s="4">
        <v>2</v>
      </c>
      <c r="K545" s="3" t="s">
        <v>21</v>
      </c>
      <c r="L545" s="4">
        <v>940000</v>
      </c>
      <c r="M545" s="1">
        <f>O545*J545*K545</f>
        <v>0</v>
      </c>
      <c r="N545" s="3"/>
      <c r="O545" s="2">
        <f>L545/J545*(1-K545)</f>
        <v>470000</v>
      </c>
    </row>
    <row r="546" ht="14.25">
      <c r="A546" s="3" t="s">
        <v>426</v>
      </c>
      <c r="B546" s="3" t="s">
        <v>532</v>
      </c>
      <c r="C546" s="3" t="s">
        <v>547</v>
      </c>
      <c r="D546" s="3" t="s">
        <v>17</v>
      </c>
      <c r="E546" s="3" t="s">
        <v>34</v>
      </c>
      <c r="F546" s="3" t="s">
        <v>19</v>
      </c>
      <c r="G546" s="4">
        <v>0</v>
      </c>
      <c r="H546" s="4">
        <v>22127688</v>
      </c>
      <c r="I546" s="3" t="s">
        <v>39</v>
      </c>
      <c r="J546" s="4">
        <v>5</v>
      </c>
      <c r="K546" s="3" t="s">
        <v>21</v>
      </c>
      <c r="L546" s="4">
        <v>16625000</v>
      </c>
      <c r="M546" s="1">
        <f>O546*J546*K546</f>
        <v>0</v>
      </c>
      <c r="N546" s="3"/>
      <c r="O546" s="2">
        <f>L546/J546*(1-K546)</f>
        <v>3325000</v>
      </c>
    </row>
    <row r="547" ht="14.25">
      <c r="A547" s="3" t="s">
        <v>426</v>
      </c>
      <c r="B547" s="3" t="s">
        <v>532</v>
      </c>
      <c r="C547" s="3" t="s">
        <v>547</v>
      </c>
      <c r="D547" s="3" t="s">
        <v>17</v>
      </c>
      <c r="E547" s="3" t="s">
        <v>34</v>
      </c>
      <c r="F547" s="3" t="s">
        <v>19</v>
      </c>
      <c r="G547" s="4">
        <v>0</v>
      </c>
      <c r="H547" s="4">
        <v>22127688</v>
      </c>
      <c r="I547" s="3" t="s">
        <v>69</v>
      </c>
      <c r="J547" s="4">
        <v>8</v>
      </c>
      <c r="K547" s="3" t="s">
        <v>21</v>
      </c>
      <c r="L547" s="4">
        <v>2902688</v>
      </c>
      <c r="M547" s="1">
        <f>O547*J547*K547</f>
        <v>0</v>
      </c>
      <c r="N547" s="3"/>
      <c r="O547" s="2">
        <f>L547/J547*(1-K547)</f>
        <v>362836</v>
      </c>
    </row>
    <row r="548" ht="14.25">
      <c r="A548" s="3" t="s">
        <v>426</v>
      </c>
      <c r="B548" s="3" t="s">
        <v>532</v>
      </c>
      <c r="C548" s="3" t="s">
        <v>547</v>
      </c>
      <c r="D548" s="3" t="s">
        <v>17</v>
      </c>
      <c r="E548" s="3" t="s">
        <v>34</v>
      </c>
      <c r="F548" s="3" t="s">
        <v>19</v>
      </c>
      <c r="G548" s="4">
        <v>0</v>
      </c>
      <c r="H548" s="4">
        <v>22127688</v>
      </c>
      <c r="I548" s="3" t="s">
        <v>79</v>
      </c>
      <c r="J548" s="4">
        <v>4</v>
      </c>
      <c r="K548" s="3" t="s">
        <v>21</v>
      </c>
      <c r="L548" s="4">
        <v>2600000</v>
      </c>
      <c r="M548" s="1">
        <f>O548*J548*K548</f>
        <v>0</v>
      </c>
      <c r="N548" s="3"/>
      <c r="O548" s="2">
        <f>L548/J548*(1-K548)</f>
        <v>650000</v>
      </c>
    </row>
    <row r="549" ht="14.25">
      <c r="A549" s="3" t="s">
        <v>433</v>
      </c>
      <c r="B549" s="3" t="s">
        <v>157</v>
      </c>
      <c r="C549" s="3" t="s">
        <v>548</v>
      </c>
      <c r="D549" s="3" t="s">
        <v>17</v>
      </c>
      <c r="E549" s="3" t="s">
        <v>23</v>
      </c>
      <c r="F549" s="3" t="s">
        <v>19</v>
      </c>
      <c r="G549" s="4">
        <v>0</v>
      </c>
      <c r="H549" s="4">
        <v>2050000</v>
      </c>
      <c r="I549" s="3" t="s">
        <v>102</v>
      </c>
      <c r="J549" s="4">
        <v>1</v>
      </c>
      <c r="K549" s="3" t="s">
        <v>21</v>
      </c>
      <c r="L549" s="4">
        <v>2050000</v>
      </c>
      <c r="M549" s="1">
        <f>O549*J549*K549</f>
        <v>0</v>
      </c>
      <c r="N549" s="3"/>
      <c r="O549" s="2">
        <f>L549/J549*(1-K549)</f>
        <v>2050000</v>
      </c>
    </row>
    <row r="550" ht="14.25">
      <c r="A550" s="3" t="s">
        <v>457</v>
      </c>
      <c r="B550" s="3" t="s">
        <v>189</v>
      </c>
      <c r="C550" s="3" t="s">
        <v>549</v>
      </c>
      <c r="D550" s="3" t="s">
        <v>17</v>
      </c>
      <c r="E550" s="3" t="s">
        <v>550</v>
      </c>
      <c r="F550" s="3" t="s">
        <v>19</v>
      </c>
      <c r="G550" s="4">
        <v>0</v>
      </c>
      <c r="H550" s="4">
        <v>340000</v>
      </c>
      <c r="I550" s="3" t="s">
        <v>551</v>
      </c>
      <c r="J550" s="4">
        <v>1</v>
      </c>
      <c r="K550" s="3" t="s">
        <v>21</v>
      </c>
      <c r="L550" s="4">
        <v>340000</v>
      </c>
      <c r="M550" s="1">
        <f>O550*J550*K550</f>
        <v>0</v>
      </c>
      <c r="N550" s="3"/>
      <c r="O550" s="2">
        <f>L550/J550*(1-K550)</f>
        <v>340000</v>
      </c>
    </row>
    <row r="551" ht="14.25">
      <c r="A551" s="3" t="s">
        <v>433</v>
      </c>
      <c r="B551" s="3" t="s">
        <v>552</v>
      </c>
      <c r="C551" s="3" t="s">
        <v>553</v>
      </c>
      <c r="D551" s="3" t="s">
        <v>159</v>
      </c>
      <c r="E551" s="3" t="s">
        <v>324</v>
      </c>
      <c r="F551" s="3" t="s">
        <v>19</v>
      </c>
      <c r="G551" s="4">
        <v>16471166</v>
      </c>
      <c r="H551" s="4">
        <v>95000000</v>
      </c>
      <c r="I551" s="3" t="s">
        <v>554</v>
      </c>
      <c r="J551" s="4">
        <v>9</v>
      </c>
      <c r="K551" s="3" t="s">
        <v>21</v>
      </c>
      <c r="L551" s="4">
        <v>45000000</v>
      </c>
      <c r="M551" s="1">
        <f>O551*J551*K551</f>
        <v>0</v>
      </c>
      <c r="N551" s="3"/>
      <c r="O551" s="2">
        <f>L551/J551*(1-K551)</f>
        <v>5000000</v>
      </c>
    </row>
    <row r="552" ht="14.25">
      <c r="A552" s="3" t="s">
        <v>433</v>
      </c>
      <c r="B552" s="3" t="s">
        <v>552</v>
      </c>
      <c r="C552" s="3" t="s">
        <v>553</v>
      </c>
      <c r="D552" s="3" t="s">
        <v>159</v>
      </c>
      <c r="E552" s="3" t="s">
        <v>324</v>
      </c>
      <c r="F552" s="3" t="s">
        <v>19</v>
      </c>
      <c r="G552" s="4">
        <v>16471166</v>
      </c>
      <c r="H552" s="4">
        <v>95000000</v>
      </c>
      <c r="I552" s="3" t="s">
        <v>555</v>
      </c>
      <c r="J552" s="4">
        <v>5</v>
      </c>
      <c r="K552" s="3" t="s">
        <v>21</v>
      </c>
      <c r="L552" s="4">
        <v>25000000</v>
      </c>
      <c r="M552" s="1">
        <f>O552*J552*K552</f>
        <v>0</v>
      </c>
      <c r="N552" s="3"/>
      <c r="O552" s="2">
        <f>L552/J552*(1-K552)</f>
        <v>5000000</v>
      </c>
    </row>
    <row r="553" ht="14.25">
      <c r="A553" s="3" t="s">
        <v>433</v>
      </c>
      <c r="B553" s="3" t="s">
        <v>552</v>
      </c>
      <c r="C553" s="3" t="s">
        <v>553</v>
      </c>
      <c r="D553" s="3" t="s">
        <v>159</v>
      </c>
      <c r="E553" s="3" t="s">
        <v>324</v>
      </c>
      <c r="F553" s="3" t="s">
        <v>19</v>
      </c>
      <c r="G553" s="4">
        <v>16471166</v>
      </c>
      <c r="H553" s="4">
        <v>95000000</v>
      </c>
      <c r="I553" s="3" t="s">
        <v>556</v>
      </c>
      <c r="J553" s="4">
        <v>1</v>
      </c>
      <c r="K553" s="3" t="s">
        <v>21</v>
      </c>
      <c r="L553" s="4">
        <v>5000000</v>
      </c>
      <c r="M553" s="1">
        <f>O553*J553*K553</f>
        <v>0</v>
      </c>
      <c r="N553" s="3"/>
      <c r="O553" s="2">
        <f>L553/J553*(1-K553)</f>
        <v>5000000</v>
      </c>
    </row>
    <row r="554" ht="14.25">
      <c r="A554" s="3" t="s">
        <v>433</v>
      </c>
      <c r="B554" s="3" t="s">
        <v>552</v>
      </c>
      <c r="C554" s="3" t="s">
        <v>553</v>
      </c>
      <c r="D554" s="3" t="s">
        <v>159</v>
      </c>
      <c r="E554" s="3" t="s">
        <v>324</v>
      </c>
      <c r="F554" s="3" t="s">
        <v>19</v>
      </c>
      <c r="G554" s="4">
        <v>16471166</v>
      </c>
      <c r="H554" s="4">
        <v>95000000</v>
      </c>
      <c r="I554" s="3" t="s">
        <v>557</v>
      </c>
      <c r="J554" s="4">
        <v>4</v>
      </c>
      <c r="K554" s="3" t="s">
        <v>21</v>
      </c>
      <c r="L554" s="4">
        <v>20000000</v>
      </c>
      <c r="M554" s="1">
        <f>O554*J554*K554</f>
        <v>0</v>
      </c>
      <c r="N554" s="3"/>
      <c r="O554" s="2">
        <f>L554/J554*(1-K554)</f>
        <v>5000000</v>
      </c>
    </row>
    <row r="555" ht="14.25">
      <c r="A555" s="3" t="s">
        <v>457</v>
      </c>
      <c r="B555" s="3" t="s">
        <v>189</v>
      </c>
      <c r="C555" s="3" t="s">
        <v>558</v>
      </c>
      <c r="D555" s="3" t="s">
        <v>17</v>
      </c>
      <c r="E555" s="3" t="s">
        <v>559</v>
      </c>
      <c r="F555" s="3" t="s">
        <v>19</v>
      </c>
      <c r="G555" s="4">
        <v>0</v>
      </c>
      <c r="H555" s="4">
        <v>7600000</v>
      </c>
      <c r="I555" s="3" t="s">
        <v>82</v>
      </c>
      <c r="J555" s="4">
        <v>2</v>
      </c>
      <c r="K555" s="3" t="s">
        <v>21</v>
      </c>
      <c r="L555" s="4">
        <v>7600000</v>
      </c>
      <c r="M555" s="1">
        <f>O555*J555*K555</f>
        <v>0</v>
      </c>
      <c r="N555" s="3"/>
      <c r="O555" s="2">
        <f>L555/J555*(1-K555)</f>
        <v>3800000</v>
      </c>
    </row>
    <row r="556" ht="14.25">
      <c r="A556" s="3" t="s">
        <v>457</v>
      </c>
      <c r="B556" s="3" t="s">
        <v>189</v>
      </c>
      <c r="C556" s="3" t="s">
        <v>560</v>
      </c>
      <c r="D556" s="3" t="s">
        <v>17</v>
      </c>
      <c r="E556" s="3" t="s">
        <v>34</v>
      </c>
      <c r="F556" s="3" t="s">
        <v>19</v>
      </c>
      <c r="G556" s="4">
        <v>0</v>
      </c>
      <c r="H556" s="4">
        <v>9074720</v>
      </c>
      <c r="I556" s="3" t="s">
        <v>35</v>
      </c>
      <c r="J556" s="4">
        <v>1</v>
      </c>
      <c r="K556" s="3" t="s">
        <v>21</v>
      </c>
      <c r="L556" s="4">
        <v>3550000</v>
      </c>
      <c r="M556" s="1">
        <f>O556*J556*K556</f>
        <v>0</v>
      </c>
      <c r="N556" s="3"/>
      <c r="O556" s="2">
        <f>L556/J556*(1-K556)</f>
        <v>3550000</v>
      </c>
    </row>
    <row r="557" ht="14.25">
      <c r="A557" s="3" t="s">
        <v>457</v>
      </c>
      <c r="B557" s="3" t="s">
        <v>189</v>
      </c>
      <c r="C557" s="3" t="s">
        <v>560</v>
      </c>
      <c r="D557" s="3" t="s">
        <v>17</v>
      </c>
      <c r="E557" s="3" t="s">
        <v>34</v>
      </c>
      <c r="F557" s="3" t="s">
        <v>19</v>
      </c>
      <c r="G557" s="4">
        <v>0</v>
      </c>
      <c r="H557" s="4">
        <v>9074720</v>
      </c>
      <c r="I557" s="3" t="s">
        <v>82</v>
      </c>
      <c r="J557" s="4">
        <v>1</v>
      </c>
      <c r="K557" s="3" t="s">
        <v>21</v>
      </c>
      <c r="L557" s="4">
        <v>3550000</v>
      </c>
      <c r="M557" s="1">
        <f>O557*J557*K557</f>
        <v>0</v>
      </c>
      <c r="N557" s="3"/>
      <c r="O557" s="2">
        <f>L557/J557*(1-K557)</f>
        <v>3550000</v>
      </c>
    </row>
    <row r="558" ht="14.25">
      <c r="A558" s="3" t="s">
        <v>457</v>
      </c>
      <c r="B558" s="3" t="s">
        <v>189</v>
      </c>
      <c r="C558" s="3" t="s">
        <v>560</v>
      </c>
      <c r="D558" s="3" t="s">
        <v>17</v>
      </c>
      <c r="E558" s="3" t="s">
        <v>34</v>
      </c>
      <c r="F558" s="3" t="s">
        <v>19</v>
      </c>
      <c r="G558" s="4">
        <v>0</v>
      </c>
      <c r="H558" s="4">
        <v>9074720</v>
      </c>
      <c r="I558" s="3" t="s">
        <v>188</v>
      </c>
      <c r="J558" s="4">
        <v>8</v>
      </c>
      <c r="K558" s="3" t="s">
        <v>21</v>
      </c>
      <c r="L558" s="4">
        <v>1974720</v>
      </c>
      <c r="M558" s="1">
        <f>O558*J558*K558</f>
        <v>0</v>
      </c>
      <c r="N558" s="3"/>
      <c r="O558" s="2">
        <f>L558/J558*(1-K558)</f>
        <v>246840</v>
      </c>
    </row>
    <row r="559" ht="14.25">
      <c r="A559" s="3" t="s">
        <v>457</v>
      </c>
      <c r="B559" s="3" t="s">
        <v>189</v>
      </c>
      <c r="C559" s="3" t="s">
        <v>561</v>
      </c>
      <c r="D559" s="3" t="s">
        <v>17</v>
      </c>
      <c r="E559" s="3" t="s">
        <v>146</v>
      </c>
      <c r="F559" s="3" t="s">
        <v>19</v>
      </c>
      <c r="G559" s="4">
        <v>0</v>
      </c>
      <c r="H559" s="4">
        <v>1450000</v>
      </c>
      <c r="I559" s="3" t="s">
        <v>562</v>
      </c>
      <c r="J559" s="4">
        <v>1</v>
      </c>
      <c r="K559" s="3" t="s">
        <v>21</v>
      </c>
      <c r="L559" s="4">
        <v>1450000</v>
      </c>
      <c r="M559" s="1">
        <f>O559*J559*K559</f>
        <v>0</v>
      </c>
      <c r="N559" s="3"/>
      <c r="O559" s="2">
        <f>L559/J559*(1-K559)</f>
        <v>1450000</v>
      </c>
    </row>
    <row r="560" ht="14.25">
      <c r="A560" s="3" t="s">
        <v>457</v>
      </c>
      <c r="B560" s="3" t="s">
        <v>189</v>
      </c>
      <c r="C560" s="3" t="s">
        <v>563</v>
      </c>
      <c r="D560" s="3" t="s">
        <v>17</v>
      </c>
      <c r="E560" s="3" t="s">
        <v>252</v>
      </c>
      <c r="F560" s="3" t="s">
        <v>19</v>
      </c>
      <c r="G560" s="4">
        <v>0</v>
      </c>
      <c r="H560" s="4">
        <v>8800000</v>
      </c>
      <c r="I560" s="3" t="s">
        <v>564</v>
      </c>
      <c r="J560" s="4">
        <v>1</v>
      </c>
      <c r="K560" s="3" t="s">
        <v>21</v>
      </c>
      <c r="L560" s="4">
        <v>5000000</v>
      </c>
      <c r="M560" s="1">
        <f>O560*J560*K560</f>
        <v>0</v>
      </c>
      <c r="N560" s="3"/>
      <c r="O560" s="2">
        <f>L560/J560*(1-K560)</f>
        <v>5000000</v>
      </c>
    </row>
    <row r="561" ht="14.25">
      <c r="A561" s="3" t="s">
        <v>457</v>
      </c>
      <c r="B561" s="3" t="s">
        <v>189</v>
      </c>
      <c r="C561" s="3" t="s">
        <v>563</v>
      </c>
      <c r="D561" s="3" t="s">
        <v>17</v>
      </c>
      <c r="E561" s="3" t="s">
        <v>252</v>
      </c>
      <c r="F561" s="3" t="s">
        <v>19</v>
      </c>
      <c r="G561" s="4">
        <v>0</v>
      </c>
      <c r="H561" s="4">
        <v>8800000</v>
      </c>
      <c r="I561" s="3" t="s">
        <v>82</v>
      </c>
      <c r="J561" s="4">
        <v>1</v>
      </c>
      <c r="K561" s="3" t="s">
        <v>21</v>
      </c>
      <c r="L561" s="4">
        <v>3800000</v>
      </c>
      <c r="M561" s="1">
        <f>O561*J561*K561</f>
        <v>0</v>
      </c>
      <c r="N561" s="3"/>
      <c r="O561" s="2">
        <f>L561/J561*(1-K561)</f>
        <v>3800000</v>
      </c>
    </row>
    <row r="562" ht="14.25">
      <c r="A562" s="3" t="s">
        <v>457</v>
      </c>
      <c r="B562" s="3" t="s">
        <v>189</v>
      </c>
      <c r="C562" s="3" t="s">
        <v>565</v>
      </c>
      <c r="D562" s="3" t="s">
        <v>17</v>
      </c>
      <c r="E562" s="3" t="s">
        <v>263</v>
      </c>
      <c r="F562" s="3" t="s">
        <v>19</v>
      </c>
      <c r="G562" s="4">
        <v>0</v>
      </c>
      <c r="H562" s="4">
        <v>6138372</v>
      </c>
      <c r="I562" s="3" t="s">
        <v>68</v>
      </c>
      <c r="J562" s="4">
        <v>60</v>
      </c>
      <c r="K562" s="3" t="s">
        <v>21</v>
      </c>
      <c r="L562" s="4">
        <v>2453400</v>
      </c>
      <c r="M562" s="1">
        <f>O562*J562*K562</f>
        <v>0</v>
      </c>
      <c r="N562" s="3"/>
      <c r="O562" s="2">
        <f>L562/J562*(1-K562)</f>
        <v>40890</v>
      </c>
    </row>
    <row r="563" ht="14.25">
      <c r="A563" s="3" t="s">
        <v>457</v>
      </c>
      <c r="B563" s="3" t="s">
        <v>189</v>
      </c>
      <c r="C563" s="3" t="s">
        <v>565</v>
      </c>
      <c r="D563" s="3" t="s">
        <v>17</v>
      </c>
      <c r="E563" s="3" t="s">
        <v>263</v>
      </c>
      <c r="F563" s="3" t="s">
        <v>19</v>
      </c>
      <c r="G563" s="4">
        <v>0</v>
      </c>
      <c r="H563" s="4">
        <v>6138372</v>
      </c>
      <c r="I563" s="3" t="s">
        <v>67</v>
      </c>
      <c r="J563" s="4">
        <v>6</v>
      </c>
      <c r="K563" s="3" t="s">
        <v>21</v>
      </c>
      <c r="L563" s="4">
        <v>2191140</v>
      </c>
      <c r="M563" s="1">
        <f>O563*J563*K563</f>
        <v>0</v>
      </c>
      <c r="N563" s="3"/>
      <c r="O563" s="2">
        <f>L563/J563*(1-K563)</f>
        <v>365190</v>
      </c>
    </row>
    <row r="564" ht="14.25">
      <c r="A564" s="3" t="s">
        <v>457</v>
      </c>
      <c r="B564" s="3" t="s">
        <v>189</v>
      </c>
      <c r="C564" s="3" t="s">
        <v>565</v>
      </c>
      <c r="D564" s="3" t="s">
        <v>17</v>
      </c>
      <c r="E564" s="3" t="s">
        <v>263</v>
      </c>
      <c r="F564" s="3" t="s">
        <v>19</v>
      </c>
      <c r="G564" s="4">
        <v>0</v>
      </c>
      <c r="H564" s="4">
        <v>6138372</v>
      </c>
      <c r="I564" s="3" t="s">
        <v>125</v>
      </c>
      <c r="J564" s="4">
        <v>6</v>
      </c>
      <c r="K564" s="3" t="s">
        <v>21</v>
      </c>
      <c r="L564" s="4">
        <v>1493832</v>
      </c>
      <c r="M564" s="1">
        <f>O564*J564*K564</f>
        <v>0</v>
      </c>
      <c r="N564" s="3"/>
      <c r="O564" s="2">
        <f>L564/J564*(1-K564)</f>
        <v>248972</v>
      </c>
    </row>
    <row r="565" ht="14.25">
      <c r="A565" s="3" t="s">
        <v>457</v>
      </c>
      <c r="B565" s="3" t="s">
        <v>566</v>
      </c>
      <c r="C565" s="3" t="s">
        <v>567</v>
      </c>
      <c r="D565" s="3" t="s">
        <v>17</v>
      </c>
      <c r="E565" s="3" t="s">
        <v>568</v>
      </c>
      <c r="F565" s="3" t="s">
        <v>19</v>
      </c>
      <c r="G565" s="4">
        <v>0</v>
      </c>
      <c r="H565" s="4">
        <v>3311280</v>
      </c>
      <c r="I565" s="3" t="s">
        <v>116</v>
      </c>
      <c r="J565" s="4">
        <v>96</v>
      </c>
      <c r="K565" s="3" t="s">
        <v>21</v>
      </c>
      <c r="L565" s="4">
        <v>607200</v>
      </c>
      <c r="M565" s="1">
        <f>O565*J565*K565</f>
        <v>0</v>
      </c>
      <c r="N565" s="3"/>
      <c r="O565" s="2">
        <f>L565/J565*(1-K565)</f>
        <v>6325</v>
      </c>
    </row>
    <row r="566" ht="14.25">
      <c r="A566" s="3" t="s">
        <v>457</v>
      </c>
      <c r="B566" s="3" t="s">
        <v>566</v>
      </c>
      <c r="C566" s="3" t="s">
        <v>567</v>
      </c>
      <c r="D566" s="3" t="s">
        <v>17</v>
      </c>
      <c r="E566" s="3" t="s">
        <v>568</v>
      </c>
      <c r="F566" s="3" t="s">
        <v>19</v>
      </c>
      <c r="G566" s="4">
        <v>0</v>
      </c>
      <c r="H566" s="4">
        <v>3311280</v>
      </c>
      <c r="I566" s="3" t="s">
        <v>471</v>
      </c>
      <c r="J566" s="4">
        <v>96</v>
      </c>
      <c r="K566" s="3" t="s">
        <v>21</v>
      </c>
      <c r="L566" s="4">
        <v>369600</v>
      </c>
      <c r="M566" s="1">
        <f>O566*J566*K566</f>
        <v>0</v>
      </c>
      <c r="N566" s="3"/>
      <c r="O566" s="2">
        <f>L566/J566*(1-K566)</f>
        <v>3850</v>
      </c>
    </row>
    <row r="567" ht="14.25">
      <c r="A567" s="3" t="s">
        <v>457</v>
      </c>
      <c r="B567" s="3" t="s">
        <v>566</v>
      </c>
      <c r="C567" s="3" t="s">
        <v>567</v>
      </c>
      <c r="D567" s="3" t="s">
        <v>17</v>
      </c>
      <c r="E567" s="3" t="s">
        <v>568</v>
      </c>
      <c r="F567" s="3" t="s">
        <v>19</v>
      </c>
      <c r="G567" s="4">
        <v>0</v>
      </c>
      <c r="H567" s="4">
        <v>3311280</v>
      </c>
      <c r="I567" s="3" t="s">
        <v>163</v>
      </c>
      <c r="J567" s="4">
        <v>24</v>
      </c>
      <c r="K567" s="3" t="s">
        <v>21</v>
      </c>
      <c r="L567" s="4">
        <v>729240</v>
      </c>
      <c r="M567" s="1">
        <f>O567*J567*K567</f>
        <v>0</v>
      </c>
      <c r="N567" s="3"/>
      <c r="O567" s="2">
        <f>L567/J567*(1-K567)</f>
        <v>30385</v>
      </c>
    </row>
    <row r="568" ht="14.25">
      <c r="A568" s="3" t="s">
        <v>457</v>
      </c>
      <c r="B568" s="3" t="s">
        <v>566</v>
      </c>
      <c r="C568" s="3" t="s">
        <v>567</v>
      </c>
      <c r="D568" s="3" t="s">
        <v>17</v>
      </c>
      <c r="E568" s="3" t="s">
        <v>568</v>
      </c>
      <c r="F568" s="3" t="s">
        <v>19</v>
      </c>
      <c r="G568" s="4">
        <v>0</v>
      </c>
      <c r="H568" s="4">
        <v>3311280</v>
      </c>
      <c r="I568" s="3" t="s">
        <v>161</v>
      </c>
      <c r="J568" s="4">
        <v>96</v>
      </c>
      <c r="K568" s="3" t="s">
        <v>21</v>
      </c>
      <c r="L568" s="4">
        <v>552000</v>
      </c>
      <c r="M568" s="1">
        <f>O568*J568*K568</f>
        <v>0</v>
      </c>
      <c r="N568" s="3"/>
      <c r="O568" s="2">
        <f>L568/J568*(1-K568)</f>
        <v>5750</v>
      </c>
    </row>
    <row r="569" ht="14.25">
      <c r="A569" s="3" t="s">
        <v>457</v>
      </c>
      <c r="B569" s="3" t="s">
        <v>566</v>
      </c>
      <c r="C569" s="3" t="s">
        <v>567</v>
      </c>
      <c r="D569" s="3" t="s">
        <v>17</v>
      </c>
      <c r="E569" s="3" t="s">
        <v>568</v>
      </c>
      <c r="F569" s="3" t="s">
        <v>19</v>
      </c>
      <c r="G569" s="4">
        <v>0</v>
      </c>
      <c r="H569" s="4">
        <v>3311280</v>
      </c>
      <c r="I569" s="3" t="s">
        <v>162</v>
      </c>
      <c r="J569" s="4">
        <v>24</v>
      </c>
      <c r="K569" s="3" t="s">
        <v>21</v>
      </c>
      <c r="L569" s="4">
        <v>178200</v>
      </c>
      <c r="M569" s="1">
        <f>O569*J569*K569</f>
        <v>0</v>
      </c>
      <c r="N569" s="3"/>
      <c r="O569" s="2">
        <f>L569/J569*(1-K569)</f>
        <v>7425</v>
      </c>
    </row>
    <row r="570" ht="14.25">
      <c r="A570" s="3" t="s">
        <v>457</v>
      </c>
      <c r="B570" s="3" t="s">
        <v>566</v>
      </c>
      <c r="C570" s="3" t="s">
        <v>567</v>
      </c>
      <c r="D570" s="3" t="s">
        <v>17</v>
      </c>
      <c r="E570" s="3" t="s">
        <v>568</v>
      </c>
      <c r="F570" s="3" t="s">
        <v>19</v>
      </c>
      <c r="G570" s="4">
        <v>0</v>
      </c>
      <c r="H570" s="4">
        <v>3311280</v>
      </c>
      <c r="I570" s="3" t="s">
        <v>166</v>
      </c>
      <c r="J570" s="4">
        <v>24</v>
      </c>
      <c r="K570" s="3" t="s">
        <v>21</v>
      </c>
      <c r="L570" s="4">
        <v>311040</v>
      </c>
      <c r="M570" s="1">
        <f>O570*J570*K570</f>
        <v>0</v>
      </c>
      <c r="N570" s="3"/>
      <c r="O570" s="2">
        <f>L570/J570*(1-K570)</f>
        <v>12960</v>
      </c>
    </row>
    <row r="571" ht="14.25">
      <c r="A571" s="3" t="s">
        <v>457</v>
      </c>
      <c r="B571" s="3" t="s">
        <v>566</v>
      </c>
      <c r="C571" s="3" t="s">
        <v>567</v>
      </c>
      <c r="D571" s="3" t="s">
        <v>17</v>
      </c>
      <c r="E571" s="3" t="s">
        <v>568</v>
      </c>
      <c r="F571" s="3" t="s">
        <v>19</v>
      </c>
      <c r="G571" s="4">
        <v>0</v>
      </c>
      <c r="H571" s="4">
        <v>3311280</v>
      </c>
      <c r="I571" s="3" t="s">
        <v>32</v>
      </c>
      <c r="J571" s="4">
        <v>24</v>
      </c>
      <c r="K571" s="3" t="s">
        <v>21</v>
      </c>
      <c r="L571" s="4">
        <v>564000</v>
      </c>
      <c r="M571" s="1">
        <f>O571*J571*K571</f>
        <v>0</v>
      </c>
      <c r="N571" s="3"/>
      <c r="O571" s="2">
        <f>L571/J571*(1-K571)</f>
        <v>23500</v>
      </c>
    </row>
    <row r="572" ht="14.25">
      <c r="A572" s="3" t="s">
        <v>457</v>
      </c>
      <c r="B572" s="3" t="s">
        <v>566</v>
      </c>
      <c r="C572" s="3" t="s">
        <v>569</v>
      </c>
      <c r="D572" s="3" t="s">
        <v>17</v>
      </c>
      <c r="E572" s="3" t="s">
        <v>570</v>
      </c>
      <c r="F572" s="3" t="s">
        <v>19</v>
      </c>
      <c r="G572" s="4">
        <v>0</v>
      </c>
      <c r="H572" s="4">
        <v>12500000</v>
      </c>
      <c r="I572" s="3" t="s">
        <v>564</v>
      </c>
      <c r="J572" s="4">
        <v>2</v>
      </c>
      <c r="K572" s="3" t="s">
        <v>21</v>
      </c>
      <c r="L572" s="4">
        <v>11000000</v>
      </c>
      <c r="M572" s="1">
        <f>O572*J572*K572</f>
        <v>0</v>
      </c>
      <c r="N572" s="3"/>
      <c r="O572" s="2">
        <f>L572/J572*(1-K572)</f>
        <v>5500000</v>
      </c>
    </row>
    <row r="573" ht="14.25">
      <c r="A573" s="3" t="s">
        <v>457</v>
      </c>
      <c r="B573" s="3" t="s">
        <v>566</v>
      </c>
      <c r="C573" s="3" t="s">
        <v>569</v>
      </c>
      <c r="D573" s="3" t="s">
        <v>17</v>
      </c>
      <c r="E573" s="3" t="s">
        <v>570</v>
      </c>
      <c r="F573" s="3" t="s">
        <v>19</v>
      </c>
      <c r="G573" s="4">
        <v>0</v>
      </c>
      <c r="H573" s="4">
        <v>12500000</v>
      </c>
      <c r="I573" s="3" t="s">
        <v>474</v>
      </c>
      <c r="J573" s="4">
        <v>4</v>
      </c>
      <c r="K573" s="3" t="s">
        <v>21</v>
      </c>
      <c r="L573" s="4">
        <v>1500000</v>
      </c>
      <c r="M573" s="1">
        <f>O573*J573*K573</f>
        <v>0</v>
      </c>
      <c r="N573" s="3"/>
      <c r="O573" s="2">
        <f>L573/J573*(1-K573)</f>
        <v>375000</v>
      </c>
    </row>
    <row r="574" ht="14.25">
      <c r="A574" s="3" t="s">
        <v>457</v>
      </c>
      <c r="B574" s="3" t="s">
        <v>566</v>
      </c>
      <c r="C574" s="3" t="s">
        <v>571</v>
      </c>
      <c r="D574" s="3" t="s">
        <v>17</v>
      </c>
      <c r="E574" s="3" t="s">
        <v>572</v>
      </c>
      <c r="F574" s="3" t="s">
        <v>19</v>
      </c>
      <c r="G574" s="4">
        <v>0</v>
      </c>
      <c r="H574" s="4">
        <v>12596000</v>
      </c>
      <c r="I574" s="3" t="s">
        <v>35</v>
      </c>
      <c r="J574" s="4">
        <v>1</v>
      </c>
      <c r="K574" s="3" t="s">
        <v>21</v>
      </c>
      <c r="L574" s="4">
        <v>4200000</v>
      </c>
      <c r="M574" s="1">
        <f>O574*J574*K574</f>
        <v>0</v>
      </c>
      <c r="N574" s="3"/>
      <c r="O574" s="2">
        <f>L574/J574*(1-K574)</f>
        <v>4200000</v>
      </c>
    </row>
    <row r="575" ht="14.25">
      <c r="A575" s="3" t="s">
        <v>457</v>
      </c>
      <c r="B575" s="3" t="s">
        <v>566</v>
      </c>
      <c r="C575" s="3" t="s">
        <v>571</v>
      </c>
      <c r="D575" s="3" t="s">
        <v>17</v>
      </c>
      <c r="E575" s="3" t="s">
        <v>572</v>
      </c>
      <c r="F575" s="3" t="s">
        <v>19</v>
      </c>
      <c r="G575" s="4">
        <v>0</v>
      </c>
      <c r="H575" s="4">
        <v>12596000</v>
      </c>
      <c r="I575" s="3" t="s">
        <v>399</v>
      </c>
      <c r="J575" s="4">
        <v>2</v>
      </c>
      <c r="K575" s="3" t="s">
        <v>21</v>
      </c>
      <c r="L575" s="4">
        <v>660000</v>
      </c>
      <c r="M575" s="1">
        <f>O575*J575*K575</f>
        <v>0</v>
      </c>
      <c r="N575" s="3"/>
      <c r="O575" s="2">
        <f>L575/J575*(1-K575)</f>
        <v>330000</v>
      </c>
    </row>
    <row r="576" ht="14.25">
      <c r="A576" s="3" t="s">
        <v>457</v>
      </c>
      <c r="B576" s="3" t="s">
        <v>566</v>
      </c>
      <c r="C576" s="3" t="s">
        <v>571</v>
      </c>
      <c r="D576" s="3" t="s">
        <v>17</v>
      </c>
      <c r="E576" s="3" t="s">
        <v>572</v>
      </c>
      <c r="F576" s="3" t="s">
        <v>19</v>
      </c>
      <c r="G576" s="4">
        <v>0</v>
      </c>
      <c r="H576" s="4">
        <v>12596000</v>
      </c>
      <c r="I576" s="3" t="s">
        <v>69</v>
      </c>
      <c r="J576" s="4">
        <v>4</v>
      </c>
      <c r="K576" s="3" t="s">
        <v>21</v>
      </c>
      <c r="L576" s="4">
        <v>1520000</v>
      </c>
      <c r="M576" s="1">
        <f>O576*J576*K576</f>
        <v>0</v>
      </c>
      <c r="N576" s="3"/>
      <c r="O576" s="2">
        <f>L576/J576*(1-K576)</f>
        <v>380000</v>
      </c>
    </row>
    <row r="577" ht="14.25">
      <c r="A577" s="3" t="s">
        <v>457</v>
      </c>
      <c r="B577" s="3" t="s">
        <v>566</v>
      </c>
      <c r="C577" s="3" t="s">
        <v>571</v>
      </c>
      <c r="D577" s="3" t="s">
        <v>17</v>
      </c>
      <c r="E577" s="3" t="s">
        <v>572</v>
      </c>
      <c r="F577" s="3" t="s">
        <v>19</v>
      </c>
      <c r="G577" s="4">
        <v>0</v>
      </c>
      <c r="H577" s="4">
        <v>12596000</v>
      </c>
      <c r="I577" s="3" t="s">
        <v>299</v>
      </c>
      <c r="J577" s="4">
        <v>24</v>
      </c>
      <c r="K577" s="3" t="s">
        <v>21</v>
      </c>
      <c r="L577" s="4">
        <v>864000</v>
      </c>
      <c r="M577" s="1">
        <f>O577*J577*K577</f>
        <v>0</v>
      </c>
      <c r="N577" s="3"/>
      <c r="O577" s="2">
        <f>L577/J577*(1-K577)</f>
        <v>36000</v>
      </c>
    </row>
    <row r="578" ht="14.25">
      <c r="A578" s="3" t="s">
        <v>457</v>
      </c>
      <c r="B578" s="3" t="s">
        <v>566</v>
      </c>
      <c r="C578" s="3" t="s">
        <v>571</v>
      </c>
      <c r="D578" s="3" t="s">
        <v>17</v>
      </c>
      <c r="E578" s="3" t="s">
        <v>572</v>
      </c>
      <c r="F578" s="3" t="s">
        <v>19</v>
      </c>
      <c r="G578" s="4">
        <v>0</v>
      </c>
      <c r="H578" s="4">
        <v>12596000</v>
      </c>
      <c r="I578" s="3" t="s">
        <v>372</v>
      </c>
      <c r="J578" s="4">
        <v>48</v>
      </c>
      <c r="K578" s="3" t="s">
        <v>21</v>
      </c>
      <c r="L578" s="4">
        <v>1584000</v>
      </c>
      <c r="M578" s="1">
        <f>O578*J578*K578</f>
        <v>0</v>
      </c>
      <c r="N578" s="3"/>
      <c r="O578" s="2">
        <f>L578/J578*(1-K578)</f>
        <v>33000</v>
      </c>
    </row>
    <row r="579" ht="14.25">
      <c r="A579" s="3" t="s">
        <v>457</v>
      </c>
      <c r="B579" s="3" t="s">
        <v>566</v>
      </c>
      <c r="C579" s="3" t="s">
        <v>571</v>
      </c>
      <c r="D579" s="3" t="s">
        <v>17</v>
      </c>
      <c r="E579" s="3" t="s">
        <v>572</v>
      </c>
      <c r="F579" s="3" t="s">
        <v>19</v>
      </c>
      <c r="G579" s="4">
        <v>0</v>
      </c>
      <c r="H579" s="4">
        <v>12596000</v>
      </c>
      <c r="I579" s="3" t="s">
        <v>424</v>
      </c>
      <c r="J579" s="4">
        <v>24</v>
      </c>
      <c r="K579" s="3" t="s">
        <v>21</v>
      </c>
      <c r="L579" s="4">
        <v>768000</v>
      </c>
      <c r="M579" s="1">
        <f>O579*J579*K579</f>
        <v>0</v>
      </c>
      <c r="N579" s="3"/>
      <c r="O579" s="2">
        <f>L579/J579*(1-K579)</f>
        <v>32000</v>
      </c>
    </row>
    <row r="580" ht="14.25">
      <c r="A580" s="3" t="s">
        <v>457</v>
      </c>
      <c r="B580" s="3" t="s">
        <v>566</v>
      </c>
      <c r="C580" s="3" t="s">
        <v>571</v>
      </c>
      <c r="D580" s="3" t="s">
        <v>17</v>
      </c>
      <c r="E580" s="3" t="s">
        <v>572</v>
      </c>
      <c r="F580" s="3" t="s">
        <v>19</v>
      </c>
      <c r="G580" s="4">
        <v>0</v>
      </c>
      <c r="H580" s="4">
        <v>12596000</v>
      </c>
      <c r="I580" s="3" t="s">
        <v>29</v>
      </c>
      <c r="J580" s="4">
        <v>6</v>
      </c>
      <c r="K580" s="3" t="s">
        <v>21</v>
      </c>
      <c r="L580" s="4">
        <v>3000000</v>
      </c>
      <c r="M580" s="1">
        <f>O580*J580*K580</f>
        <v>0</v>
      </c>
      <c r="N580" s="3"/>
      <c r="O580" s="2">
        <f>L580/J580*(1-K580)</f>
        <v>500000</v>
      </c>
    </row>
    <row r="581" ht="14.25">
      <c r="A581" s="3" t="s">
        <v>457</v>
      </c>
      <c r="B581" s="3" t="s">
        <v>566</v>
      </c>
      <c r="C581" s="3" t="s">
        <v>573</v>
      </c>
      <c r="D581" s="3" t="s">
        <v>17</v>
      </c>
      <c r="E581" s="3" t="s">
        <v>574</v>
      </c>
      <c r="F581" s="3" t="s">
        <v>19</v>
      </c>
      <c r="G581" s="4">
        <v>0</v>
      </c>
      <c r="H581" s="4">
        <v>12500000</v>
      </c>
      <c r="I581" s="3" t="s">
        <v>39</v>
      </c>
      <c r="J581" s="4">
        <v>1</v>
      </c>
      <c r="K581" s="3" t="s">
        <v>21</v>
      </c>
      <c r="L581" s="4">
        <v>3800000</v>
      </c>
      <c r="M581" s="1">
        <f>O581*J581*K581</f>
        <v>0</v>
      </c>
      <c r="N581" s="3"/>
      <c r="O581" s="2">
        <f>L581/J581*(1-K581)</f>
        <v>3800000</v>
      </c>
    </row>
    <row r="582" ht="14.25">
      <c r="A582" s="3" t="s">
        <v>457</v>
      </c>
      <c r="B582" s="3" t="s">
        <v>566</v>
      </c>
      <c r="C582" s="3" t="s">
        <v>573</v>
      </c>
      <c r="D582" s="3" t="s">
        <v>17</v>
      </c>
      <c r="E582" s="3" t="s">
        <v>574</v>
      </c>
      <c r="F582" s="3" t="s">
        <v>19</v>
      </c>
      <c r="G582" s="4">
        <v>0</v>
      </c>
      <c r="H582" s="4">
        <v>12500000</v>
      </c>
      <c r="I582" s="3" t="s">
        <v>121</v>
      </c>
      <c r="J582" s="4">
        <v>1</v>
      </c>
      <c r="K582" s="3" t="s">
        <v>21</v>
      </c>
      <c r="L582" s="4">
        <v>3800000</v>
      </c>
      <c r="M582" s="1">
        <f>O582*J582*K582</f>
        <v>0</v>
      </c>
      <c r="N582" s="3"/>
      <c r="O582" s="2">
        <f>L582/J582*(1-K582)</f>
        <v>3800000</v>
      </c>
    </row>
    <row r="583" ht="14.25">
      <c r="A583" s="3" t="s">
        <v>457</v>
      </c>
      <c r="B583" s="3" t="s">
        <v>566</v>
      </c>
      <c r="C583" s="3" t="s">
        <v>573</v>
      </c>
      <c r="D583" s="3" t="s">
        <v>17</v>
      </c>
      <c r="E583" s="3" t="s">
        <v>574</v>
      </c>
      <c r="F583" s="3" t="s">
        <v>19</v>
      </c>
      <c r="G583" s="4">
        <v>0</v>
      </c>
      <c r="H583" s="4">
        <v>12500000</v>
      </c>
      <c r="I583" s="3" t="s">
        <v>474</v>
      </c>
      <c r="J583" s="4">
        <v>8</v>
      </c>
      <c r="K583" s="3" t="s">
        <v>21</v>
      </c>
      <c r="L583" s="4">
        <v>3000000</v>
      </c>
      <c r="M583" s="1">
        <f>O583*J583*K583</f>
        <v>0</v>
      </c>
      <c r="N583" s="3"/>
      <c r="O583" s="2">
        <f>L583/J583*(1-K583)</f>
        <v>375000</v>
      </c>
    </row>
    <row r="584" ht="14.25">
      <c r="A584" s="3" t="s">
        <v>457</v>
      </c>
      <c r="B584" s="3" t="s">
        <v>566</v>
      </c>
      <c r="C584" s="3" t="s">
        <v>573</v>
      </c>
      <c r="D584" s="3" t="s">
        <v>17</v>
      </c>
      <c r="E584" s="3" t="s">
        <v>574</v>
      </c>
      <c r="F584" s="3" t="s">
        <v>19</v>
      </c>
      <c r="G584" s="4">
        <v>0</v>
      </c>
      <c r="H584" s="4">
        <v>12500000</v>
      </c>
      <c r="I584" s="3" t="s">
        <v>69</v>
      </c>
      <c r="J584" s="4">
        <v>4</v>
      </c>
      <c r="K584" s="3" t="s">
        <v>21</v>
      </c>
      <c r="L584" s="4">
        <v>1520000</v>
      </c>
      <c r="M584" s="1">
        <f>O584*J584*K584</f>
        <v>0</v>
      </c>
      <c r="N584" s="3"/>
      <c r="O584" s="2">
        <f>L584/J584*(1-K584)</f>
        <v>380000</v>
      </c>
    </row>
    <row r="585" ht="14.25">
      <c r="A585" s="3" t="s">
        <v>457</v>
      </c>
      <c r="B585" s="3" t="s">
        <v>566</v>
      </c>
      <c r="C585" s="3" t="s">
        <v>573</v>
      </c>
      <c r="D585" s="3" t="s">
        <v>17</v>
      </c>
      <c r="E585" s="3" t="s">
        <v>574</v>
      </c>
      <c r="F585" s="3" t="s">
        <v>19</v>
      </c>
      <c r="G585" s="4">
        <v>0</v>
      </c>
      <c r="H585" s="4">
        <v>12500000</v>
      </c>
      <c r="I585" s="3" t="s">
        <v>394</v>
      </c>
      <c r="J585" s="4">
        <v>1</v>
      </c>
      <c r="K585" s="3" t="s">
        <v>21</v>
      </c>
      <c r="L585" s="4">
        <v>380000</v>
      </c>
      <c r="M585" s="1">
        <f>O585*J585*K585</f>
        <v>0</v>
      </c>
      <c r="N585" s="3"/>
      <c r="O585" s="2">
        <f>L585/J585*(1-K585)</f>
        <v>380000</v>
      </c>
    </row>
    <row r="586" ht="14.25">
      <c r="A586" s="3" t="s">
        <v>457</v>
      </c>
      <c r="B586" s="3" t="s">
        <v>566</v>
      </c>
      <c r="C586" s="3" t="s">
        <v>575</v>
      </c>
      <c r="D586" s="3" t="s">
        <v>159</v>
      </c>
      <c r="E586" s="3" t="s">
        <v>53</v>
      </c>
      <c r="F586" s="3" t="s">
        <v>19</v>
      </c>
      <c r="G586" s="4">
        <v>5933360</v>
      </c>
      <c r="H586" s="4">
        <v>5933360</v>
      </c>
      <c r="I586" s="3" t="s">
        <v>380</v>
      </c>
      <c r="J586" s="4">
        <v>24</v>
      </c>
      <c r="K586" s="3" t="s">
        <v>21</v>
      </c>
      <c r="L586" s="4">
        <v>720000</v>
      </c>
      <c r="M586" s="1">
        <f>O586*J586*K586</f>
        <v>0</v>
      </c>
      <c r="N586" s="3"/>
      <c r="O586" s="2">
        <f>L586/J586*(1-K586)</f>
        <v>30000</v>
      </c>
    </row>
    <row r="587" ht="14.25">
      <c r="A587" s="3" t="s">
        <v>457</v>
      </c>
      <c r="B587" s="3" t="s">
        <v>566</v>
      </c>
      <c r="C587" s="3" t="s">
        <v>575</v>
      </c>
      <c r="D587" s="3" t="s">
        <v>159</v>
      </c>
      <c r="E587" s="3" t="s">
        <v>53</v>
      </c>
      <c r="F587" s="3" t="s">
        <v>19</v>
      </c>
      <c r="G587" s="4">
        <v>5933360</v>
      </c>
      <c r="H587" s="4">
        <v>5933360</v>
      </c>
      <c r="I587" s="3" t="s">
        <v>503</v>
      </c>
      <c r="J587" s="4">
        <v>3</v>
      </c>
      <c r="K587" s="3" t="s">
        <v>21</v>
      </c>
      <c r="L587" s="4">
        <v>591000</v>
      </c>
      <c r="M587" s="1">
        <f>O587*J587*K587</f>
        <v>0</v>
      </c>
      <c r="N587" s="3"/>
      <c r="O587" s="2">
        <f>L587/J587*(1-K587)</f>
        <v>197000</v>
      </c>
    </row>
    <row r="588" ht="14.25">
      <c r="A588" s="3" t="s">
        <v>457</v>
      </c>
      <c r="B588" s="3" t="s">
        <v>566</v>
      </c>
      <c r="C588" s="3" t="s">
        <v>575</v>
      </c>
      <c r="D588" s="3" t="s">
        <v>159</v>
      </c>
      <c r="E588" s="3" t="s">
        <v>53</v>
      </c>
      <c r="F588" s="3" t="s">
        <v>19</v>
      </c>
      <c r="G588" s="4">
        <v>5933360</v>
      </c>
      <c r="H588" s="4">
        <v>5933360</v>
      </c>
      <c r="I588" s="3" t="s">
        <v>32</v>
      </c>
      <c r="J588" s="4">
        <v>24</v>
      </c>
      <c r="K588" s="3" t="s">
        <v>21</v>
      </c>
      <c r="L588" s="4">
        <v>612000</v>
      </c>
      <c r="M588" s="1">
        <f>O588*J588*K588</f>
        <v>0</v>
      </c>
      <c r="N588" s="3"/>
      <c r="O588" s="2">
        <f>L588/J588*(1-K588)</f>
        <v>25500</v>
      </c>
    </row>
    <row r="589" ht="14.25">
      <c r="A589" s="3" t="s">
        <v>457</v>
      </c>
      <c r="B589" s="3" t="s">
        <v>566</v>
      </c>
      <c r="C589" s="3" t="s">
        <v>575</v>
      </c>
      <c r="D589" s="3" t="s">
        <v>159</v>
      </c>
      <c r="E589" s="3" t="s">
        <v>53</v>
      </c>
      <c r="F589" s="3" t="s">
        <v>19</v>
      </c>
      <c r="G589" s="4">
        <v>5933360</v>
      </c>
      <c r="H589" s="4">
        <v>5933360</v>
      </c>
      <c r="I589" s="3" t="s">
        <v>447</v>
      </c>
      <c r="J589" s="4">
        <v>12</v>
      </c>
      <c r="K589" s="3" t="s">
        <v>21</v>
      </c>
      <c r="L589" s="4">
        <v>525000</v>
      </c>
      <c r="M589" s="1">
        <f>O589*J589*K589</f>
        <v>0</v>
      </c>
      <c r="N589" s="3"/>
      <c r="O589" s="2">
        <f>L589/J589*(1-K589)</f>
        <v>43750</v>
      </c>
    </row>
    <row r="590" ht="14.25">
      <c r="A590" s="3" t="s">
        <v>457</v>
      </c>
      <c r="B590" s="3" t="s">
        <v>566</v>
      </c>
      <c r="C590" s="3" t="s">
        <v>575</v>
      </c>
      <c r="D590" s="3" t="s">
        <v>159</v>
      </c>
      <c r="E590" s="3" t="s">
        <v>53</v>
      </c>
      <c r="F590" s="3" t="s">
        <v>19</v>
      </c>
      <c r="G590" s="4">
        <v>5933360</v>
      </c>
      <c r="H590" s="4">
        <v>5933360</v>
      </c>
      <c r="I590" s="3" t="s">
        <v>415</v>
      </c>
      <c r="J590" s="4">
        <v>6</v>
      </c>
      <c r="K590" s="3" t="s">
        <v>21</v>
      </c>
      <c r="L590" s="4">
        <v>216000</v>
      </c>
      <c r="M590" s="1">
        <f>O590*J590*K590</f>
        <v>0</v>
      </c>
      <c r="N590" s="3"/>
      <c r="O590" s="2">
        <f>L590/J590*(1-K590)</f>
        <v>36000</v>
      </c>
    </row>
    <row r="591" ht="14.25">
      <c r="A591" s="3" t="s">
        <v>457</v>
      </c>
      <c r="B591" s="3" t="s">
        <v>566</v>
      </c>
      <c r="C591" s="3" t="s">
        <v>575</v>
      </c>
      <c r="D591" s="3" t="s">
        <v>159</v>
      </c>
      <c r="E591" s="3" t="s">
        <v>53</v>
      </c>
      <c r="F591" s="3" t="s">
        <v>19</v>
      </c>
      <c r="G591" s="4">
        <v>5933360</v>
      </c>
      <c r="H591" s="4">
        <v>5933360</v>
      </c>
      <c r="I591" s="3" t="s">
        <v>56</v>
      </c>
      <c r="J591" s="4">
        <v>4</v>
      </c>
      <c r="K591" s="3" t="s">
        <v>21</v>
      </c>
      <c r="L591" s="4">
        <v>620000</v>
      </c>
      <c r="M591" s="1">
        <f>O591*J591*K591</f>
        <v>0</v>
      </c>
      <c r="N591" s="3"/>
      <c r="O591" s="2">
        <f>L591/J591*(1-K591)</f>
        <v>155000</v>
      </c>
    </row>
    <row r="592" ht="14.25">
      <c r="A592" s="3" t="s">
        <v>457</v>
      </c>
      <c r="B592" s="3" t="s">
        <v>566</v>
      </c>
      <c r="C592" s="3" t="s">
        <v>575</v>
      </c>
      <c r="D592" s="3" t="s">
        <v>159</v>
      </c>
      <c r="E592" s="3" t="s">
        <v>53</v>
      </c>
      <c r="F592" s="3" t="s">
        <v>19</v>
      </c>
      <c r="G592" s="4">
        <v>5933360</v>
      </c>
      <c r="H592" s="4">
        <v>5933360</v>
      </c>
      <c r="I592" s="3" t="s">
        <v>110</v>
      </c>
      <c r="J592" s="4">
        <v>24</v>
      </c>
      <c r="K592" s="3" t="s">
        <v>21</v>
      </c>
      <c r="L592" s="4">
        <v>804000</v>
      </c>
      <c r="M592" s="1">
        <f>O592*J592*K592</f>
        <v>0</v>
      </c>
      <c r="N592" s="3"/>
      <c r="O592" s="2">
        <f>L592/J592*(1-K592)</f>
        <v>33500</v>
      </c>
    </row>
    <row r="593" ht="14.25">
      <c r="A593" s="3" t="s">
        <v>457</v>
      </c>
      <c r="B593" s="3" t="s">
        <v>566</v>
      </c>
      <c r="C593" s="3" t="s">
        <v>575</v>
      </c>
      <c r="D593" s="3" t="s">
        <v>159</v>
      </c>
      <c r="E593" s="3" t="s">
        <v>53</v>
      </c>
      <c r="F593" s="3" t="s">
        <v>19</v>
      </c>
      <c r="G593" s="4">
        <v>5933360</v>
      </c>
      <c r="H593" s="4">
        <v>5933360</v>
      </c>
      <c r="I593" s="3" t="s">
        <v>576</v>
      </c>
      <c r="J593" s="4">
        <v>2</v>
      </c>
      <c r="K593" s="3" t="s">
        <v>577</v>
      </c>
      <c r="L593" s="4">
        <v>580000</v>
      </c>
      <c r="M593" s="1">
        <f>O593*J593*K593</f>
        <v>116928.00000000001</v>
      </c>
      <c r="N593" s="3"/>
      <c r="O593" s="2">
        <f>L593/J593*(1-K593)</f>
        <v>208800</v>
      </c>
    </row>
    <row r="594" ht="14.25">
      <c r="A594" s="3" t="s">
        <v>457</v>
      </c>
      <c r="B594" s="3" t="s">
        <v>566</v>
      </c>
      <c r="C594" s="3" t="s">
        <v>575</v>
      </c>
      <c r="D594" s="3" t="s">
        <v>159</v>
      </c>
      <c r="E594" s="3" t="s">
        <v>53</v>
      </c>
      <c r="F594" s="3" t="s">
        <v>19</v>
      </c>
      <c r="G594" s="4">
        <v>5933360</v>
      </c>
      <c r="H594" s="4">
        <v>5933360</v>
      </c>
      <c r="I594" s="3" t="s">
        <v>578</v>
      </c>
      <c r="J594" s="4">
        <v>6</v>
      </c>
      <c r="K594" s="3" t="s">
        <v>577</v>
      </c>
      <c r="L594" s="4">
        <v>1983000</v>
      </c>
      <c r="M594" s="1">
        <f>O594*J594*K594</f>
        <v>399772.80000000005</v>
      </c>
      <c r="N594" s="3"/>
      <c r="O594" s="2">
        <f>L594/J594*(1-K594)</f>
        <v>237960</v>
      </c>
    </row>
    <row r="595" ht="14.25">
      <c r="A595" s="3" t="s">
        <v>41</v>
      </c>
      <c r="B595" s="3" t="s">
        <v>579</v>
      </c>
      <c r="C595" s="3" t="s">
        <v>580</v>
      </c>
      <c r="D595" s="3" t="s">
        <v>17</v>
      </c>
      <c r="E595" s="3" t="s">
        <v>581</v>
      </c>
      <c r="F595" s="3" t="s">
        <v>19</v>
      </c>
      <c r="G595" s="4">
        <v>0</v>
      </c>
      <c r="H595" s="4">
        <v>700000</v>
      </c>
      <c r="I595" s="3" t="s">
        <v>147</v>
      </c>
      <c r="J595" s="4">
        <v>1</v>
      </c>
      <c r="K595" s="3" t="s">
        <v>21</v>
      </c>
      <c r="L595" s="4">
        <v>700000</v>
      </c>
      <c r="M595" s="1">
        <f>O595*J595*K595</f>
        <v>0</v>
      </c>
      <c r="N595" s="3"/>
      <c r="O595" s="2">
        <f>L595/J595*(1-K595)</f>
        <v>700000</v>
      </c>
    </row>
    <row r="596" ht="14.25">
      <c r="A596" s="3" t="s">
        <v>41</v>
      </c>
      <c r="B596" s="3" t="s">
        <v>582</v>
      </c>
      <c r="C596" s="3" t="s">
        <v>583</v>
      </c>
      <c r="D596" s="3" t="s">
        <v>159</v>
      </c>
      <c r="E596" s="3" t="s">
        <v>584</v>
      </c>
      <c r="F596" s="3" t="s">
        <v>19</v>
      </c>
      <c r="G596" s="4">
        <v>100000</v>
      </c>
      <c r="H596" s="4">
        <v>4200000</v>
      </c>
      <c r="I596" s="3" t="s">
        <v>35</v>
      </c>
      <c r="J596" s="4">
        <v>1</v>
      </c>
      <c r="K596" s="3" t="s">
        <v>21</v>
      </c>
      <c r="L596" s="4">
        <v>4200000</v>
      </c>
      <c r="M596" s="1">
        <f>O596*J596*K596</f>
        <v>0</v>
      </c>
      <c r="N596" s="3"/>
      <c r="O596" s="2">
        <f>L596/J596*(1-K596)</f>
        <v>4200000</v>
      </c>
    </row>
    <row r="597" ht="14.25">
      <c r="A597" s="3" t="s">
        <v>41</v>
      </c>
      <c r="B597" s="3" t="s">
        <v>579</v>
      </c>
      <c r="C597" s="3" t="s">
        <v>585</v>
      </c>
      <c r="D597" s="3" t="s">
        <v>17</v>
      </c>
      <c r="E597" s="3" t="s">
        <v>334</v>
      </c>
      <c r="F597" s="3" t="s">
        <v>19</v>
      </c>
      <c r="G597" s="4">
        <v>0</v>
      </c>
      <c r="H597" s="4">
        <v>2200000</v>
      </c>
      <c r="I597" s="3" t="s">
        <v>586</v>
      </c>
      <c r="J597" s="4">
        <v>2</v>
      </c>
      <c r="K597" s="3" t="s">
        <v>21</v>
      </c>
      <c r="L597" s="4">
        <v>2200000</v>
      </c>
      <c r="M597" s="1">
        <f>O597*J597*K597</f>
        <v>0</v>
      </c>
      <c r="N597" s="3"/>
      <c r="O597" s="2">
        <f>L597/J597*(1-K597)</f>
        <v>1100000</v>
      </c>
    </row>
    <row r="598" ht="14.25">
      <c r="A598" s="3" t="s">
        <v>41</v>
      </c>
      <c r="B598" s="3" t="s">
        <v>579</v>
      </c>
      <c r="C598" s="3" t="s">
        <v>587</v>
      </c>
      <c r="D598" s="3" t="s">
        <v>17</v>
      </c>
      <c r="E598" s="3" t="s">
        <v>23</v>
      </c>
      <c r="F598" s="3" t="s">
        <v>19</v>
      </c>
      <c r="G598" s="4">
        <v>0</v>
      </c>
      <c r="H598" s="4">
        <v>2050000</v>
      </c>
      <c r="I598" s="3" t="s">
        <v>102</v>
      </c>
      <c r="J598" s="4">
        <v>1</v>
      </c>
      <c r="K598" s="3" t="s">
        <v>21</v>
      </c>
      <c r="L598" s="4">
        <v>2050000</v>
      </c>
      <c r="M598" s="1">
        <f>O598*J598*K598</f>
        <v>0</v>
      </c>
      <c r="N598" s="3"/>
      <c r="O598" s="2">
        <f>L598/J598*(1-K598)</f>
        <v>2050000</v>
      </c>
    </row>
    <row r="599" ht="14.25">
      <c r="A599" s="3" t="s">
        <v>41</v>
      </c>
      <c r="B599" s="3" t="s">
        <v>41</v>
      </c>
      <c r="C599" s="3" t="s">
        <v>588</v>
      </c>
      <c r="D599" s="3" t="s">
        <v>17</v>
      </c>
      <c r="E599" s="3" t="s">
        <v>317</v>
      </c>
      <c r="F599" s="3" t="s">
        <v>19</v>
      </c>
      <c r="G599" s="4">
        <v>0</v>
      </c>
      <c r="H599" s="4">
        <v>0</v>
      </c>
      <c r="I599" s="3" t="s">
        <v>589</v>
      </c>
      <c r="J599" s="4">
        <v>2</v>
      </c>
      <c r="K599" s="3" t="s">
        <v>21</v>
      </c>
      <c r="L599" s="4">
        <v>0</v>
      </c>
      <c r="M599" s="1">
        <f>O599*J599*K599</f>
        <v>0</v>
      </c>
      <c r="N599" s="3"/>
      <c r="O599" s="2">
        <f>L599/J599*(1-K599)</f>
        <v>0</v>
      </c>
    </row>
    <row r="600" ht="14.25">
      <c r="A600" s="3" t="s">
        <v>41</v>
      </c>
      <c r="B600" s="3" t="s">
        <v>579</v>
      </c>
      <c r="C600" s="3" t="s">
        <v>590</v>
      </c>
      <c r="D600" s="3" t="s">
        <v>17</v>
      </c>
      <c r="E600" s="3" t="s">
        <v>34</v>
      </c>
      <c r="F600" s="3" t="s">
        <v>19</v>
      </c>
      <c r="G600" s="4">
        <v>0</v>
      </c>
      <c r="H600" s="4">
        <v>11113000</v>
      </c>
      <c r="I600" s="3" t="s">
        <v>394</v>
      </c>
      <c r="J600" s="4">
        <v>6</v>
      </c>
      <c r="K600" s="3" t="s">
        <v>21</v>
      </c>
      <c r="L600" s="4">
        <v>2040000</v>
      </c>
      <c r="M600" s="1">
        <f>O600*J600*K600</f>
        <v>0</v>
      </c>
      <c r="N600" s="3"/>
      <c r="O600" s="2">
        <f>L600/J600*(1-K600)</f>
        <v>340000</v>
      </c>
    </row>
    <row r="601" ht="14.25">
      <c r="A601" s="3" t="s">
        <v>41</v>
      </c>
      <c r="B601" s="3" t="s">
        <v>579</v>
      </c>
      <c r="C601" s="3" t="s">
        <v>590</v>
      </c>
      <c r="D601" s="3" t="s">
        <v>17</v>
      </c>
      <c r="E601" s="3" t="s">
        <v>34</v>
      </c>
      <c r="F601" s="3" t="s">
        <v>19</v>
      </c>
      <c r="G601" s="4">
        <v>0</v>
      </c>
      <c r="H601" s="4">
        <v>11113000</v>
      </c>
      <c r="I601" s="3" t="s">
        <v>123</v>
      </c>
      <c r="J601" s="4">
        <v>1</v>
      </c>
      <c r="K601" s="3" t="s">
        <v>21</v>
      </c>
      <c r="L601" s="4">
        <v>340000</v>
      </c>
      <c r="M601" s="1">
        <f>O601*J601*K601</f>
        <v>0</v>
      </c>
      <c r="N601" s="3"/>
      <c r="O601" s="2">
        <f>L601/J601*(1-K601)</f>
        <v>340000</v>
      </c>
    </row>
    <row r="602" ht="14.25">
      <c r="A602" s="3" t="s">
        <v>41</v>
      </c>
      <c r="B602" s="3" t="s">
        <v>579</v>
      </c>
      <c r="C602" s="3" t="s">
        <v>590</v>
      </c>
      <c r="D602" s="3" t="s">
        <v>17</v>
      </c>
      <c r="E602" s="3" t="s">
        <v>34</v>
      </c>
      <c r="F602" s="3" t="s">
        <v>19</v>
      </c>
      <c r="G602" s="4">
        <v>0</v>
      </c>
      <c r="H602" s="4">
        <v>11113000</v>
      </c>
      <c r="I602" s="3" t="s">
        <v>591</v>
      </c>
      <c r="J602" s="4">
        <v>1</v>
      </c>
      <c r="K602" s="3" t="s">
        <v>21</v>
      </c>
      <c r="L602" s="4">
        <v>245000</v>
      </c>
      <c r="M602" s="1">
        <f>O602*J602*K602</f>
        <v>0</v>
      </c>
      <c r="N602" s="3"/>
      <c r="O602" s="2">
        <f>L602/J602*(1-K602)</f>
        <v>245000</v>
      </c>
    </row>
    <row r="603" ht="14.25">
      <c r="A603" s="3" t="s">
        <v>41</v>
      </c>
      <c r="B603" s="3" t="s">
        <v>579</v>
      </c>
      <c r="C603" s="3" t="s">
        <v>590</v>
      </c>
      <c r="D603" s="3" t="s">
        <v>17</v>
      </c>
      <c r="E603" s="3" t="s">
        <v>34</v>
      </c>
      <c r="F603" s="3" t="s">
        <v>19</v>
      </c>
      <c r="G603" s="4">
        <v>0</v>
      </c>
      <c r="H603" s="4">
        <v>11113000</v>
      </c>
      <c r="I603" s="3" t="s">
        <v>415</v>
      </c>
      <c r="J603" s="4">
        <v>18</v>
      </c>
      <c r="K603" s="3" t="s">
        <v>21</v>
      </c>
      <c r="L603" s="4">
        <v>648000</v>
      </c>
      <c r="M603" s="1">
        <f>O603*J603*K603</f>
        <v>0</v>
      </c>
      <c r="N603" s="3"/>
      <c r="O603" s="2">
        <f>L603/J603*(1-K603)</f>
        <v>36000</v>
      </c>
    </row>
    <row r="604" ht="14.25">
      <c r="A604" s="3" t="s">
        <v>41</v>
      </c>
      <c r="B604" s="3" t="s">
        <v>579</v>
      </c>
      <c r="C604" s="3" t="s">
        <v>590</v>
      </c>
      <c r="D604" s="3" t="s">
        <v>17</v>
      </c>
      <c r="E604" s="3" t="s">
        <v>34</v>
      </c>
      <c r="F604" s="3" t="s">
        <v>19</v>
      </c>
      <c r="G604" s="4">
        <v>0</v>
      </c>
      <c r="H604" s="4">
        <v>11113000</v>
      </c>
      <c r="I604" s="3" t="s">
        <v>395</v>
      </c>
      <c r="J604" s="4">
        <v>12</v>
      </c>
      <c r="K604" s="3" t="s">
        <v>21</v>
      </c>
      <c r="L604" s="4">
        <v>1500000</v>
      </c>
      <c r="M604" s="1">
        <f>O604*J604*K604</f>
        <v>0</v>
      </c>
      <c r="N604" s="3"/>
      <c r="O604" s="2">
        <f>L604/J604*(1-K604)</f>
        <v>125000</v>
      </c>
    </row>
    <row r="605" ht="14.25">
      <c r="A605" s="3" t="s">
        <v>41</v>
      </c>
      <c r="B605" s="3" t="s">
        <v>579</v>
      </c>
      <c r="C605" s="3" t="s">
        <v>590</v>
      </c>
      <c r="D605" s="3" t="s">
        <v>17</v>
      </c>
      <c r="E605" s="3" t="s">
        <v>34</v>
      </c>
      <c r="F605" s="3" t="s">
        <v>19</v>
      </c>
      <c r="G605" s="4">
        <v>0</v>
      </c>
      <c r="H605" s="4">
        <v>11113000</v>
      </c>
      <c r="I605" s="3" t="s">
        <v>417</v>
      </c>
      <c r="J605" s="4">
        <v>8</v>
      </c>
      <c r="K605" s="3" t="s">
        <v>21</v>
      </c>
      <c r="L605" s="4">
        <v>1300000</v>
      </c>
      <c r="M605" s="1">
        <f>O605*J605*K605</f>
        <v>0</v>
      </c>
      <c r="N605" s="3"/>
      <c r="O605" s="2">
        <f>L605/J605*(1-K605)</f>
        <v>162500</v>
      </c>
    </row>
    <row r="606" ht="14.25">
      <c r="A606" s="3" t="s">
        <v>41</v>
      </c>
      <c r="B606" s="3" t="s">
        <v>579</v>
      </c>
      <c r="C606" s="3" t="s">
        <v>590</v>
      </c>
      <c r="D606" s="3" t="s">
        <v>17</v>
      </c>
      <c r="E606" s="3" t="s">
        <v>34</v>
      </c>
      <c r="F606" s="3" t="s">
        <v>19</v>
      </c>
      <c r="G606" s="4">
        <v>0</v>
      </c>
      <c r="H606" s="4">
        <v>11113000</v>
      </c>
      <c r="I606" s="3" t="s">
        <v>592</v>
      </c>
      <c r="J606" s="4">
        <v>20</v>
      </c>
      <c r="K606" s="3" t="s">
        <v>21</v>
      </c>
      <c r="L606" s="4">
        <v>700000</v>
      </c>
      <c r="M606" s="1">
        <f>O606*J606*K606</f>
        <v>0</v>
      </c>
      <c r="N606" s="3"/>
      <c r="O606" s="2">
        <f>L606/J606*(1-K606)</f>
        <v>35000</v>
      </c>
    </row>
    <row r="607" ht="14.25">
      <c r="A607" s="3" t="s">
        <v>41</v>
      </c>
      <c r="B607" s="3" t="s">
        <v>579</v>
      </c>
      <c r="C607" s="3" t="s">
        <v>590</v>
      </c>
      <c r="D607" s="3" t="s">
        <v>17</v>
      </c>
      <c r="E607" s="3" t="s">
        <v>34</v>
      </c>
      <c r="F607" s="3" t="s">
        <v>19</v>
      </c>
      <c r="G607" s="4">
        <v>0</v>
      </c>
      <c r="H607" s="4">
        <v>11113000</v>
      </c>
      <c r="I607" s="3" t="s">
        <v>475</v>
      </c>
      <c r="J607" s="4">
        <v>20</v>
      </c>
      <c r="K607" s="3" t="s">
        <v>21</v>
      </c>
      <c r="L607" s="4">
        <v>720000</v>
      </c>
      <c r="M607" s="1">
        <f>O607*J607*K607</f>
        <v>0</v>
      </c>
      <c r="N607" s="3"/>
      <c r="O607" s="2">
        <f>L607/J607*(1-K607)</f>
        <v>36000</v>
      </c>
    </row>
    <row r="608" ht="14.25">
      <c r="A608" s="3" t="s">
        <v>41</v>
      </c>
      <c r="B608" s="3" t="s">
        <v>579</v>
      </c>
      <c r="C608" s="3" t="s">
        <v>590</v>
      </c>
      <c r="D608" s="3" t="s">
        <v>17</v>
      </c>
      <c r="E608" s="3" t="s">
        <v>34</v>
      </c>
      <c r="F608" s="3" t="s">
        <v>19</v>
      </c>
      <c r="G608" s="4">
        <v>0</v>
      </c>
      <c r="H608" s="4">
        <v>11113000</v>
      </c>
      <c r="I608" s="3" t="s">
        <v>474</v>
      </c>
      <c r="J608" s="4">
        <v>2</v>
      </c>
      <c r="K608" s="3" t="s">
        <v>21</v>
      </c>
      <c r="L608" s="4">
        <v>660000</v>
      </c>
      <c r="M608" s="1">
        <f>O608*J608*K608</f>
        <v>0</v>
      </c>
      <c r="N608" s="3"/>
      <c r="O608" s="2">
        <f>L608/J608*(1-K608)</f>
        <v>330000</v>
      </c>
    </row>
    <row r="609" ht="14.25">
      <c r="A609" s="3" t="s">
        <v>41</v>
      </c>
      <c r="B609" s="3" t="s">
        <v>579</v>
      </c>
      <c r="C609" s="3" t="s">
        <v>590</v>
      </c>
      <c r="D609" s="3" t="s">
        <v>17</v>
      </c>
      <c r="E609" s="3" t="s">
        <v>34</v>
      </c>
      <c r="F609" s="3" t="s">
        <v>19</v>
      </c>
      <c r="G609" s="4">
        <v>0</v>
      </c>
      <c r="H609" s="4">
        <v>11113000</v>
      </c>
      <c r="I609" s="3" t="s">
        <v>56</v>
      </c>
      <c r="J609" s="4">
        <v>4</v>
      </c>
      <c r="K609" s="3" t="s">
        <v>21</v>
      </c>
      <c r="L609" s="4">
        <v>620000</v>
      </c>
      <c r="M609" s="1">
        <f>O609*J609*K609</f>
        <v>0</v>
      </c>
      <c r="N609" s="3"/>
      <c r="O609" s="2">
        <f>L609/J609*(1-K609)</f>
        <v>155000</v>
      </c>
    </row>
    <row r="610" ht="14.25">
      <c r="A610" s="3" t="s">
        <v>41</v>
      </c>
      <c r="B610" s="3" t="s">
        <v>579</v>
      </c>
      <c r="C610" s="3" t="s">
        <v>590</v>
      </c>
      <c r="D610" s="3" t="s">
        <v>17</v>
      </c>
      <c r="E610" s="3" t="s">
        <v>34</v>
      </c>
      <c r="F610" s="3" t="s">
        <v>19</v>
      </c>
      <c r="G610" s="4">
        <v>0</v>
      </c>
      <c r="H610" s="4">
        <v>11113000</v>
      </c>
      <c r="I610" s="3" t="s">
        <v>593</v>
      </c>
      <c r="J610" s="4">
        <v>2</v>
      </c>
      <c r="K610" s="3" t="s">
        <v>21</v>
      </c>
      <c r="L610" s="4">
        <v>1240000</v>
      </c>
      <c r="M610" s="1">
        <f>O610*J610*K610</f>
        <v>0</v>
      </c>
      <c r="N610" s="3"/>
      <c r="O610" s="2">
        <f>L610/J610*(1-K610)</f>
        <v>620000</v>
      </c>
    </row>
    <row r="611" ht="14.25">
      <c r="A611" s="3" t="s">
        <v>41</v>
      </c>
      <c r="B611" s="3" t="s">
        <v>579</v>
      </c>
      <c r="C611" s="3" t="s">
        <v>590</v>
      </c>
      <c r="D611" s="3" t="s">
        <v>17</v>
      </c>
      <c r="E611" s="3" t="s">
        <v>34</v>
      </c>
      <c r="F611" s="3" t="s">
        <v>19</v>
      </c>
      <c r="G611" s="4">
        <v>0</v>
      </c>
      <c r="H611" s="4">
        <v>11113000</v>
      </c>
      <c r="I611" s="3" t="s">
        <v>589</v>
      </c>
      <c r="J611" s="4">
        <v>5</v>
      </c>
      <c r="K611" s="3" t="s">
        <v>21</v>
      </c>
      <c r="L611" s="4">
        <v>1100000</v>
      </c>
      <c r="M611" s="1">
        <f>O611*J611*K611</f>
        <v>0</v>
      </c>
      <c r="N611" s="3"/>
      <c r="O611" s="2">
        <f>L611/J611*(1-K611)</f>
        <v>220000</v>
      </c>
    </row>
    <row r="612" ht="14.25">
      <c r="A612" s="3" t="s">
        <v>41</v>
      </c>
      <c r="B612" s="3" t="s">
        <v>579</v>
      </c>
      <c r="C612" s="3" t="s">
        <v>594</v>
      </c>
      <c r="D612" s="3" t="s">
        <v>17</v>
      </c>
      <c r="E612" s="3" t="s">
        <v>34</v>
      </c>
      <c r="F612" s="3" t="s">
        <v>19</v>
      </c>
      <c r="G612" s="4">
        <v>0</v>
      </c>
      <c r="H612" s="4">
        <v>9710622</v>
      </c>
      <c r="I612" s="3" t="s">
        <v>126</v>
      </c>
      <c r="J612" s="4">
        <v>4</v>
      </c>
      <c r="K612" s="3" t="s">
        <v>21</v>
      </c>
      <c r="L612" s="4">
        <v>940440</v>
      </c>
      <c r="M612" s="1">
        <f>O612*J612*K612</f>
        <v>0</v>
      </c>
      <c r="N612" s="3"/>
      <c r="O612" s="2">
        <f>L612/J612*(1-K612)</f>
        <v>235110</v>
      </c>
    </row>
    <row r="613" ht="14.25">
      <c r="A613" s="3" t="s">
        <v>41</v>
      </c>
      <c r="B613" s="3" t="s">
        <v>579</v>
      </c>
      <c r="C613" s="3" t="s">
        <v>594</v>
      </c>
      <c r="D613" s="3" t="s">
        <v>17</v>
      </c>
      <c r="E613" s="3" t="s">
        <v>34</v>
      </c>
      <c r="F613" s="3" t="s">
        <v>19</v>
      </c>
      <c r="G613" s="4">
        <v>0</v>
      </c>
      <c r="H613" s="4">
        <v>9710622</v>
      </c>
      <c r="I613" s="3" t="s">
        <v>223</v>
      </c>
      <c r="J613" s="4">
        <v>12</v>
      </c>
      <c r="K613" s="3" t="s">
        <v>21</v>
      </c>
      <c r="L613" s="4">
        <v>734400</v>
      </c>
      <c r="M613" s="1">
        <f>O613*J613*K613</f>
        <v>0</v>
      </c>
      <c r="N613" s="3"/>
      <c r="O613" s="2">
        <f>L613/J613*(1-K613)</f>
        <v>61200</v>
      </c>
    </row>
    <row r="614" ht="14.25">
      <c r="A614" s="3" t="s">
        <v>41</v>
      </c>
      <c r="B614" s="3" t="s">
        <v>579</v>
      </c>
      <c r="C614" s="3" t="s">
        <v>594</v>
      </c>
      <c r="D614" s="3" t="s">
        <v>17</v>
      </c>
      <c r="E614" s="3" t="s">
        <v>34</v>
      </c>
      <c r="F614" s="3" t="s">
        <v>19</v>
      </c>
      <c r="G614" s="4">
        <v>0</v>
      </c>
      <c r="H614" s="4">
        <v>9710622</v>
      </c>
      <c r="I614" s="3" t="s">
        <v>125</v>
      </c>
      <c r="J614" s="4">
        <v>3</v>
      </c>
      <c r="K614" s="3" t="s">
        <v>21</v>
      </c>
      <c r="L614" s="4">
        <v>739662</v>
      </c>
      <c r="M614" s="1">
        <f>O614*J614*K614</f>
        <v>0</v>
      </c>
      <c r="N614" s="3"/>
      <c r="O614" s="2">
        <f>L614/J614*(1-K614)</f>
        <v>246554</v>
      </c>
    </row>
    <row r="615" ht="14.25">
      <c r="A615" s="3" t="s">
        <v>41</v>
      </c>
      <c r="B615" s="3" t="s">
        <v>579</v>
      </c>
      <c r="C615" s="3" t="s">
        <v>594</v>
      </c>
      <c r="D615" s="3" t="s">
        <v>17</v>
      </c>
      <c r="E615" s="3" t="s">
        <v>34</v>
      </c>
      <c r="F615" s="3" t="s">
        <v>19</v>
      </c>
      <c r="G615" s="4">
        <v>0</v>
      </c>
      <c r="H615" s="4">
        <v>9710622</v>
      </c>
      <c r="I615" s="3" t="s">
        <v>261</v>
      </c>
      <c r="J615" s="4">
        <v>12</v>
      </c>
      <c r="K615" s="3" t="s">
        <v>21</v>
      </c>
      <c r="L615" s="4">
        <v>771120</v>
      </c>
      <c r="M615" s="1">
        <f>O615*J615*K615</f>
        <v>0</v>
      </c>
      <c r="N615" s="3"/>
      <c r="O615" s="2">
        <f>L615/J615*(1-K615)</f>
        <v>64260</v>
      </c>
    </row>
    <row r="616" ht="14.25">
      <c r="A616" s="3" t="s">
        <v>41</v>
      </c>
      <c r="B616" s="3" t="s">
        <v>579</v>
      </c>
      <c r="C616" s="3" t="s">
        <v>594</v>
      </c>
      <c r="D616" s="3" t="s">
        <v>17</v>
      </c>
      <c r="E616" s="3" t="s">
        <v>34</v>
      </c>
      <c r="F616" s="3" t="s">
        <v>19</v>
      </c>
      <c r="G616" s="4">
        <v>0</v>
      </c>
      <c r="H616" s="4">
        <v>9710622</v>
      </c>
      <c r="I616" s="3" t="s">
        <v>39</v>
      </c>
      <c r="J616" s="4">
        <v>1</v>
      </c>
      <c r="K616" s="3" t="s">
        <v>21</v>
      </c>
      <c r="L616" s="4">
        <v>3325000</v>
      </c>
      <c r="M616" s="1">
        <f>O616*J616*K616</f>
        <v>0</v>
      </c>
      <c r="N616" s="3"/>
      <c r="O616" s="2">
        <f>L616/J616*(1-K616)</f>
        <v>3325000</v>
      </c>
    </row>
    <row r="617" ht="14.25">
      <c r="A617" s="3" t="s">
        <v>41</v>
      </c>
      <c r="B617" s="3" t="s">
        <v>579</v>
      </c>
      <c r="C617" s="3" t="s">
        <v>594</v>
      </c>
      <c r="D617" s="3" t="s">
        <v>17</v>
      </c>
      <c r="E617" s="3" t="s">
        <v>34</v>
      </c>
      <c r="F617" s="3" t="s">
        <v>19</v>
      </c>
      <c r="G617" s="4">
        <v>0</v>
      </c>
      <c r="H617" s="4">
        <v>9710622</v>
      </c>
      <c r="I617" s="3" t="s">
        <v>39</v>
      </c>
      <c r="J617" s="4">
        <v>1</v>
      </c>
      <c r="K617" s="3" t="s">
        <v>21</v>
      </c>
      <c r="L617" s="4">
        <v>3200000</v>
      </c>
      <c r="M617" s="1">
        <f>O617*J617*K617</f>
        <v>0</v>
      </c>
      <c r="N617" s="3"/>
      <c r="O617" s="2">
        <f>L617/J617*(1-K617)</f>
        <v>3200000</v>
      </c>
    </row>
    <row r="618" ht="14.25">
      <c r="A618" s="3" t="s">
        <v>97</v>
      </c>
      <c r="B618" s="3" t="s">
        <v>254</v>
      </c>
      <c r="C618" s="3" t="s">
        <v>595</v>
      </c>
      <c r="D618" s="3" t="s">
        <v>17</v>
      </c>
      <c r="E618" s="3" t="s">
        <v>596</v>
      </c>
      <c r="F618" s="3" t="s">
        <v>19</v>
      </c>
      <c r="G618" s="4">
        <v>0</v>
      </c>
      <c r="H618" s="4">
        <v>1920000</v>
      </c>
      <c r="I618" s="3" t="s">
        <v>47</v>
      </c>
      <c r="J618" s="4">
        <v>48</v>
      </c>
      <c r="K618" s="3" t="s">
        <v>21</v>
      </c>
      <c r="L618" s="4">
        <v>1920000</v>
      </c>
      <c r="M618" s="1">
        <f>O618*J618*K618</f>
        <v>0</v>
      </c>
      <c r="N618" s="3"/>
      <c r="O618" s="2">
        <f>L618/J618*(1-K618)</f>
        <v>40000</v>
      </c>
    </row>
    <row r="619" ht="14.25">
      <c r="A619" s="3" t="s">
        <v>97</v>
      </c>
      <c r="B619" s="3" t="s">
        <v>254</v>
      </c>
      <c r="C619" s="3" t="s">
        <v>597</v>
      </c>
      <c r="D619" s="3" t="s">
        <v>17</v>
      </c>
      <c r="E619" s="3" t="s">
        <v>598</v>
      </c>
      <c r="F619" s="3" t="s">
        <v>19</v>
      </c>
      <c r="G619" s="4">
        <v>0</v>
      </c>
      <c r="H619" s="4">
        <v>2700000</v>
      </c>
      <c r="I619" s="3" t="s">
        <v>136</v>
      </c>
      <c r="J619" s="4">
        <v>2</v>
      </c>
      <c r="K619" s="3" t="s">
        <v>21</v>
      </c>
      <c r="L619" s="4">
        <v>2700000</v>
      </c>
      <c r="M619" s="1">
        <f>O619*J619*K619</f>
        <v>0</v>
      </c>
      <c r="N619" s="3"/>
      <c r="O619" s="2">
        <f>L619/J619*(1-K619)</f>
        <v>1350000</v>
      </c>
    </row>
    <row r="620" ht="14.25">
      <c r="A620" s="3" t="s">
        <v>97</v>
      </c>
      <c r="B620" s="3" t="s">
        <v>254</v>
      </c>
      <c r="C620" s="3" t="s">
        <v>599</v>
      </c>
      <c r="D620" s="3" t="s">
        <v>17</v>
      </c>
      <c r="E620" s="3" t="s">
        <v>214</v>
      </c>
      <c r="F620" s="3" t="s">
        <v>19</v>
      </c>
      <c r="G620" s="4">
        <v>0</v>
      </c>
      <c r="H620" s="4">
        <v>4000000</v>
      </c>
      <c r="I620" s="3" t="s">
        <v>600</v>
      </c>
      <c r="J620" s="4">
        <v>10</v>
      </c>
      <c r="K620" s="3" t="s">
        <v>21</v>
      </c>
      <c r="L620" s="4">
        <v>4000000</v>
      </c>
      <c r="M620" s="1">
        <f>O620*J620*K620</f>
        <v>0</v>
      </c>
      <c r="N620" s="3"/>
      <c r="O620" s="2">
        <f>L620/J620*(1-K620)</f>
        <v>400000</v>
      </c>
    </row>
    <row r="621" ht="14.25">
      <c r="A621" s="3" t="s">
        <v>97</v>
      </c>
      <c r="B621" s="3" t="s">
        <v>254</v>
      </c>
      <c r="C621" s="3" t="s">
        <v>601</v>
      </c>
      <c r="D621" s="3" t="s">
        <v>17</v>
      </c>
      <c r="E621" s="3" t="s">
        <v>436</v>
      </c>
      <c r="F621" s="3" t="s">
        <v>19</v>
      </c>
      <c r="G621" s="4">
        <v>0</v>
      </c>
      <c r="H621" s="4">
        <v>3900000</v>
      </c>
      <c r="I621" s="3" t="s">
        <v>82</v>
      </c>
      <c r="J621" s="4">
        <v>1</v>
      </c>
      <c r="K621" s="3" t="s">
        <v>21</v>
      </c>
      <c r="L621" s="4">
        <v>3900000</v>
      </c>
      <c r="M621" s="1">
        <f>O621*J621*K621</f>
        <v>0</v>
      </c>
      <c r="N621" s="3"/>
      <c r="O621" s="2">
        <f>L621/J621*(1-K621)</f>
        <v>3900000</v>
      </c>
    </row>
    <row r="622" ht="14.25">
      <c r="A622" s="3" t="s">
        <v>97</v>
      </c>
      <c r="B622" s="3" t="s">
        <v>602</v>
      </c>
      <c r="C622" s="3" t="s">
        <v>603</v>
      </c>
      <c r="D622" s="3" t="s">
        <v>17</v>
      </c>
      <c r="E622" s="3" t="s">
        <v>85</v>
      </c>
      <c r="F622" s="3" t="s">
        <v>19</v>
      </c>
      <c r="G622" s="4">
        <v>0</v>
      </c>
      <c r="H622" s="4">
        <v>3000000</v>
      </c>
      <c r="I622" s="3" t="s">
        <v>393</v>
      </c>
      <c r="J622" s="4">
        <v>10</v>
      </c>
      <c r="K622" s="3" t="s">
        <v>21</v>
      </c>
      <c r="L622" s="4">
        <v>3000000</v>
      </c>
      <c r="M622" s="1">
        <f>O622*J622*K622</f>
        <v>0</v>
      </c>
      <c r="N622" s="3"/>
      <c r="O622" s="2">
        <f>L622/J622*(1-K622)</f>
        <v>300000</v>
      </c>
    </row>
    <row r="623" ht="14.25">
      <c r="A623" s="3" t="s">
        <v>97</v>
      </c>
      <c r="B623" s="3" t="s">
        <v>254</v>
      </c>
      <c r="C623" s="3" t="s">
        <v>604</v>
      </c>
      <c r="D623" s="3" t="s">
        <v>17</v>
      </c>
      <c r="E623" s="3" t="s">
        <v>34</v>
      </c>
      <c r="F623" s="3" t="s">
        <v>19</v>
      </c>
      <c r="G623" s="4">
        <v>0</v>
      </c>
      <c r="H623" s="4">
        <v>9008560</v>
      </c>
      <c r="I623" s="3" t="s">
        <v>197</v>
      </c>
      <c r="J623" s="4">
        <v>20</v>
      </c>
      <c r="K623" s="3" t="s">
        <v>21</v>
      </c>
      <c r="L623" s="4">
        <v>872160</v>
      </c>
      <c r="M623" s="1">
        <f>O623*J623*K623</f>
        <v>0</v>
      </c>
      <c r="N623" s="3"/>
      <c r="O623" s="2">
        <f>L623/J623*(1-K623)</f>
        <v>43608</v>
      </c>
    </row>
    <row r="624" ht="14.25">
      <c r="A624" s="3" t="s">
        <v>97</v>
      </c>
      <c r="B624" s="3" t="s">
        <v>254</v>
      </c>
      <c r="C624" s="3" t="s">
        <v>604</v>
      </c>
      <c r="D624" s="3" t="s">
        <v>17</v>
      </c>
      <c r="E624" s="3" t="s">
        <v>34</v>
      </c>
      <c r="F624" s="3" t="s">
        <v>19</v>
      </c>
      <c r="G624" s="4">
        <v>0</v>
      </c>
      <c r="H624" s="4">
        <v>9008560</v>
      </c>
      <c r="I624" s="3" t="s">
        <v>68</v>
      </c>
      <c r="J624" s="4">
        <v>20</v>
      </c>
      <c r="K624" s="3" t="s">
        <v>21</v>
      </c>
      <c r="L624" s="4">
        <v>800400</v>
      </c>
      <c r="M624" s="1">
        <f>O624*J624*K624</f>
        <v>0</v>
      </c>
      <c r="N624" s="3"/>
      <c r="O624" s="2">
        <f>L624/J624*(1-K624)</f>
        <v>40020</v>
      </c>
    </row>
    <row r="625" ht="14.25">
      <c r="A625" s="3" t="s">
        <v>97</v>
      </c>
      <c r="B625" s="3" t="s">
        <v>254</v>
      </c>
      <c r="C625" s="3" t="s">
        <v>604</v>
      </c>
      <c r="D625" s="3" t="s">
        <v>17</v>
      </c>
      <c r="E625" s="3" t="s">
        <v>34</v>
      </c>
      <c r="F625" s="3" t="s">
        <v>19</v>
      </c>
      <c r="G625" s="4">
        <v>0</v>
      </c>
      <c r="H625" s="4">
        <v>9008560</v>
      </c>
      <c r="I625" s="3" t="s">
        <v>56</v>
      </c>
      <c r="J625" s="4">
        <v>4</v>
      </c>
      <c r="K625" s="3" t="s">
        <v>21</v>
      </c>
      <c r="L625" s="4">
        <v>620000</v>
      </c>
      <c r="M625" s="1">
        <f>O625*J625*K625</f>
        <v>0</v>
      </c>
      <c r="N625" s="3"/>
      <c r="O625" s="2">
        <f>L625/J625*(1-K625)</f>
        <v>155000</v>
      </c>
    </row>
    <row r="626" ht="14.25">
      <c r="A626" s="3" t="s">
        <v>97</v>
      </c>
      <c r="B626" s="3" t="s">
        <v>254</v>
      </c>
      <c r="C626" s="3" t="s">
        <v>604</v>
      </c>
      <c r="D626" s="3" t="s">
        <v>17</v>
      </c>
      <c r="E626" s="3" t="s">
        <v>34</v>
      </c>
      <c r="F626" s="3" t="s">
        <v>19</v>
      </c>
      <c r="G626" s="4">
        <v>0</v>
      </c>
      <c r="H626" s="4">
        <v>9008560</v>
      </c>
      <c r="I626" s="3" t="s">
        <v>605</v>
      </c>
      <c r="J626" s="4">
        <v>4</v>
      </c>
      <c r="K626" s="3" t="s">
        <v>21</v>
      </c>
      <c r="L626" s="4">
        <v>600000</v>
      </c>
      <c r="M626" s="1">
        <f>O626*J626*K626</f>
        <v>0</v>
      </c>
      <c r="N626" s="3"/>
      <c r="O626" s="2">
        <f>L626/J626*(1-K626)</f>
        <v>150000</v>
      </c>
    </row>
    <row r="627" ht="14.25">
      <c r="A627" s="3" t="s">
        <v>97</v>
      </c>
      <c r="B627" s="3" t="s">
        <v>254</v>
      </c>
      <c r="C627" s="3" t="s">
        <v>604</v>
      </c>
      <c r="D627" s="3" t="s">
        <v>17</v>
      </c>
      <c r="E627" s="3" t="s">
        <v>34</v>
      </c>
      <c r="F627" s="3" t="s">
        <v>19</v>
      </c>
      <c r="G627" s="4">
        <v>0</v>
      </c>
      <c r="H627" s="4">
        <v>9008560</v>
      </c>
      <c r="I627" s="3" t="s">
        <v>606</v>
      </c>
      <c r="J627" s="4">
        <v>6</v>
      </c>
      <c r="K627" s="3" t="s">
        <v>21</v>
      </c>
      <c r="L627" s="4">
        <v>750000</v>
      </c>
      <c r="M627" s="1">
        <f>O627*J627*K627</f>
        <v>0</v>
      </c>
      <c r="N627" s="3"/>
      <c r="O627" s="2">
        <f>L627/J627*(1-K627)</f>
        <v>125000</v>
      </c>
    </row>
    <row r="628" ht="14.25">
      <c r="A628" s="3" t="s">
        <v>97</v>
      </c>
      <c r="B628" s="3" t="s">
        <v>254</v>
      </c>
      <c r="C628" s="3" t="s">
        <v>604</v>
      </c>
      <c r="D628" s="3" t="s">
        <v>17</v>
      </c>
      <c r="E628" s="3" t="s">
        <v>34</v>
      </c>
      <c r="F628" s="3" t="s">
        <v>19</v>
      </c>
      <c r="G628" s="4">
        <v>0</v>
      </c>
      <c r="H628" s="4">
        <v>9008560</v>
      </c>
      <c r="I628" s="3" t="s">
        <v>415</v>
      </c>
      <c r="J628" s="4">
        <v>24</v>
      </c>
      <c r="K628" s="3" t="s">
        <v>21</v>
      </c>
      <c r="L628" s="4">
        <v>864000</v>
      </c>
      <c r="M628" s="1">
        <f>O628*J628*K628</f>
        <v>0</v>
      </c>
      <c r="N628" s="3"/>
      <c r="O628" s="2">
        <f>L628/J628*(1-K628)</f>
        <v>36000</v>
      </c>
    </row>
    <row r="629" ht="14.25">
      <c r="A629" s="3" t="s">
        <v>97</v>
      </c>
      <c r="B629" s="3" t="s">
        <v>254</v>
      </c>
      <c r="C629" s="3" t="s">
        <v>604</v>
      </c>
      <c r="D629" s="3" t="s">
        <v>17</v>
      </c>
      <c r="E629" s="3" t="s">
        <v>34</v>
      </c>
      <c r="F629" s="3" t="s">
        <v>19</v>
      </c>
      <c r="G629" s="4">
        <v>0</v>
      </c>
      <c r="H629" s="4">
        <v>9008560</v>
      </c>
      <c r="I629" s="3" t="s">
        <v>483</v>
      </c>
      <c r="J629" s="4">
        <v>24</v>
      </c>
      <c r="K629" s="3" t="s">
        <v>21</v>
      </c>
      <c r="L629" s="4">
        <v>792000</v>
      </c>
      <c r="M629" s="1">
        <f>O629*J629*K629</f>
        <v>0</v>
      </c>
      <c r="N629" s="3"/>
      <c r="O629" s="2">
        <f>L629/J629*(1-K629)</f>
        <v>33000</v>
      </c>
    </row>
    <row r="630" ht="14.25">
      <c r="A630" s="3" t="s">
        <v>97</v>
      </c>
      <c r="B630" s="3" t="s">
        <v>254</v>
      </c>
      <c r="C630" s="3" t="s">
        <v>604</v>
      </c>
      <c r="D630" s="3" t="s">
        <v>17</v>
      </c>
      <c r="E630" s="3" t="s">
        <v>34</v>
      </c>
      <c r="F630" s="3" t="s">
        <v>19</v>
      </c>
      <c r="G630" s="4">
        <v>0</v>
      </c>
      <c r="H630" s="4">
        <v>9008560</v>
      </c>
      <c r="I630" s="3" t="s">
        <v>423</v>
      </c>
      <c r="J630" s="4">
        <v>20</v>
      </c>
      <c r="K630" s="3" t="s">
        <v>21</v>
      </c>
      <c r="L630" s="4">
        <v>670000</v>
      </c>
      <c r="M630" s="1">
        <f>O630*J630*K630</f>
        <v>0</v>
      </c>
      <c r="N630" s="3"/>
      <c r="O630" s="2">
        <f>L630/J630*(1-K630)</f>
        <v>33500</v>
      </c>
    </row>
    <row r="631" ht="14.25">
      <c r="A631" s="3" t="s">
        <v>97</v>
      </c>
      <c r="B631" s="3" t="s">
        <v>254</v>
      </c>
      <c r="C631" s="3" t="s">
        <v>604</v>
      </c>
      <c r="D631" s="3" t="s">
        <v>17</v>
      </c>
      <c r="E631" s="3" t="s">
        <v>34</v>
      </c>
      <c r="F631" s="3" t="s">
        <v>19</v>
      </c>
      <c r="G631" s="4">
        <v>0</v>
      </c>
      <c r="H631" s="4">
        <v>9008560</v>
      </c>
      <c r="I631" s="3" t="s">
        <v>607</v>
      </c>
      <c r="J631" s="4">
        <v>2</v>
      </c>
      <c r="K631" s="3" t="s">
        <v>21</v>
      </c>
      <c r="L631" s="4">
        <v>1240000</v>
      </c>
      <c r="M631" s="1">
        <f>O631*J631*K631</f>
        <v>0</v>
      </c>
      <c r="N631" s="3"/>
      <c r="O631" s="2">
        <f>L631/J631*(1-K631)</f>
        <v>620000</v>
      </c>
    </row>
    <row r="632" ht="14.25">
      <c r="A632" s="3" t="s">
        <v>97</v>
      </c>
      <c r="B632" s="3" t="s">
        <v>254</v>
      </c>
      <c r="C632" s="3" t="s">
        <v>604</v>
      </c>
      <c r="D632" s="3" t="s">
        <v>17</v>
      </c>
      <c r="E632" s="3" t="s">
        <v>34</v>
      </c>
      <c r="F632" s="3" t="s">
        <v>19</v>
      </c>
      <c r="G632" s="4">
        <v>0</v>
      </c>
      <c r="H632" s="4">
        <v>9008560</v>
      </c>
      <c r="I632" s="3" t="s">
        <v>608</v>
      </c>
      <c r="J632" s="4">
        <v>2</v>
      </c>
      <c r="K632" s="3" t="s">
        <v>21</v>
      </c>
      <c r="L632" s="4">
        <v>1800000</v>
      </c>
      <c r="M632" s="1">
        <f>O632*J632*K632</f>
        <v>0</v>
      </c>
      <c r="N632" s="3"/>
      <c r="O632" s="2">
        <f>L632/J632*(1-K632)</f>
        <v>900000</v>
      </c>
    </row>
    <row r="633" ht="14.25">
      <c r="A633" s="3" t="s">
        <v>97</v>
      </c>
      <c r="B633" s="3" t="s">
        <v>602</v>
      </c>
      <c r="C633" s="3" t="s">
        <v>609</v>
      </c>
      <c r="D633" s="3" t="s">
        <v>17</v>
      </c>
      <c r="E633" s="3" t="s">
        <v>610</v>
      </c>
      <c r="F633" s="3" t="s">
        <v>19</v>
      </c>
      <c r="G633" s="4">
        <v>0</v>
      </c>
      <c r="H633" s="4">
        <v>17201532</v>
      </c>
      <c r="I633" s="3" t="s">
        <v>66</v>
      </c>
      <c r="J633" s="4">
        <v>4</v>
      </c>
      <c r="K633" s="3" t="s">
        <v>21</v>
      </c>
      <c r="L633" s="4">
        <v>1675456</v>
      </c>
      <c r="M633" s="1">
        <f>O633*J633*K633</f>
        <v>0</v>
      </c>
      <c r="N633" s="3"/>
      <c r="O633" s="2">
        <f>L633/J633*(1-K633)</f>
        <v>418864</v>
      </c>
    </row>
    <row r="634" ht="14.25">
      <c r="A634" s="3" t="s">
        <v>97</v>
      </c>
      <c r="B634" s="3" t="s">
        <v>602</v>
      </c>
      <c r="C634" s="3" t="s">
        <v>609</v>
      </c>
      <c r="D634" s="3" t="s">
        <v>17</v>
      </c>
      <c r="E634" s="3" t="s">
        <v>610</v>
      </c>
      <c r="F634" s="3" t="s">
        <v>19</v>
      </c>
      <c r="G634" s="4">
        <v>0</v>
      </c>
      <c r="H634" s="4">
        <v>17201532</v>
      </c>
      <c r="I634" s="3" t="s">
        <v>127</v>
      </c>
      <c r="J634" s="4">
        <v>6</v>
      </c>
      <c r="K634" s="3" t="s">
        <v>21</v>
      </c>
      <c r="L634" s="4">
        <v>1018020</v>
      </c>
      <c r="M634" s="1">
        <f>O634*J634*K634</f>
        <v>0</v>
      </c>
      <c r="N634" s="3"/>
      <c r="O634" s="2">
        <f>L634/J634*(1-K634)</f>
        <v>169670</v>
      </c>
    </row>
    <row r="635" ht="14.25">
      <c r="A635" s="3" t="s">
        <v>97</v>
      </c>
      <c r="B635" s="3" t="s">
        <v>602</v>
      </c>
      <c r="C635" s="3" t="s">
        <v>609</v>
      </c>
      <c r="D635" s="3" t="s">
        <v>17</v>
      </c>
      <c r="E635" s="3" t="s">
        <v>610</v>
      </c>
      <c r="F635" s="3" t="s">
        <v>19</v>
      </c>
      <c r="G635" s="4">
        <v>0</v>
      </c>
      <c r="H635" s="4">
        <v>17201532</v>
      </c>
      <c r="I635" s="3" t="s">
        <v>55</v>
      </c>
      <c r="J635" s="4">
        <v>8</v>
      </c>
      <c r="K635" s="3" t="s">
        <v>21</v>
      </c>
      <c r="L635" s="4">
        <v>1659664</v>
      </c>
      <c r="M635" s="1">
        <f>O635*J635*K635</f>
        <v>0</v>
      </c>
      <c r="N635" s="3"/>
      <c r="O635" s="2">
        <f>L635/J635*(1-K635)</f>
        <v>207458</v>
      </c>
    </row>
    <row r="636" ht="14.25">
      <c r="A636" s="3" t="s">
        <v>97</v>
      </c>
      <c r="B636" s="3" t="s">
        <v>602</v>
      </c>
      <c r="C636" s="3" t="s">
        <v>609</v>
      </c>
      <c r="D636" s="3" t="s">
        <v>17</v>
      </c>
      <c r="E636" s="3" t="s">
        <v>610</v>
      </c>
      <c r="F636" s="3" t="s">
        <v>19</v>
      </c>
      <c r="G636" s="4">
        <v>0</v>
      </c>
      <c r="H636" s="4">
        <v>17201532</v>
      </c>
      <c r="I636" s="3" t="s">
        <v>54</v>
      </c>
      <c r="J636" s="4">
        <v>4</v>
      </c>
      <c r="K636" s="3" t="s">
        <v>21</v>
      </c>
      <c r="L636" s="4">
        <v>1633344</v>
      </c>
      <c r="M636" s="1">
        <f>O636*J636*K636</f>
        <v>0</v>
      </c>
      <c r="N636" s="3"/>
      <c r="O636" s="2">
        <f>L636/J636*(1-K636)</f>
        <v>408336</v>
      </c>
    </row>
    <row r="637" ht="14.25">
      <c r="A637" s="3" t="s">
        <v>97</v>
      </c>
      <c r="B637" s="3" t="s">
        <v>602</v>
      </c>
      <c r="C637" s="3" t="s">
        <v>609</v>
      </c>
      <c r="D637" s="3" t="s">
        <v>17</v>
      </c>
      <c r="E637" s="3" t="s">
        <v>610</v>
      </c>
      <c r="F637" s="3" t="s">
        <v>19</v>
      </c>
      <c r="G637" s="4">
        <v>0</v>
      </c>
      <c r="H637" s="4">
        <v>17201532</v>
      </c>
      <c r="I637" s="3" t="s">
        <v>67</v>
      </c>
      <c r="J637" s="4">
        <v>2</v>
      </c>
      <c r="K637" s="3" t="s">
        <v>21</v>
      </c>
      <c r="L637" s="4">
        <v>730380</v>
      </c>
      <c r="M637" s="1">
        <f>O637*J637*K637</f>
        <v>0</v>
      </c>
      <c r="N637" s="3"/>
      <c r="O637" s="2">
        <f>L637/J637*(1-K637)</f>
        <v>365190</v>
      </c>
    </row>
    <row r="638" ht="14.25">
      <c r="A638" s="3" t="s">
        <v>97</v>
      </c>
      <c r="B638" s="3" t="s">
        <v>602</v>
      </c>
      <c r="C638" s="3" t="s">
        <v>609</v>
      </c>
      <c r="D638" s="3" t="s">
        <v>17</v>
      </c>
      <c r="E638" s="3" t="s">
        <v>610</v>
      </c>
      <c r="F638" s="3" t="s">
        <v>19</v>
      </c>
      <c r="G638" s="4">
        <v>0</v>
      </c>
      <c r="H638" s="4">
        <v>17201532</v>
      </c>
      <c r="I638" s="3" t="s">
        <v>36</v>
      </c>
      <c r="J638" s="4">
        <v>30</v>
      </c>
      <c r="K638" s="3" t="s">
        <v>21</v>
      </c>
      <c r="L638" s="4">
        <v>4774260</v>
      </c>
      <c r="M638" s="1">
        <f>O638*J638*K638</f>
        <v>0</v>
      </c>
      <c r="N638" s="3"/>
      <c r="O638" s="2">
        <f>L638/J638*(1-K638)</f>
        <v>159142</v>
      </c>
    </row>
    <row r="639" ht="14.25">
      <c r="A639" s="3" t="s">
        <v>97</v>
      </c>
      <c r="B639" s="3" t="s">
        <v>602</v>
      </c>
      <c r="C639" s="3" t="s">
        <v>609</v>
      </c>
      <c r="D639" s="3" t="s">
        <v>17</v>
      </c>
      <c r="E639" s="3" t="s">
        <v>610</v>
      </c>
      <c r="F639" s="3" t="s">
        <v>19</v>
      </c>
      <c r="G639" s="4">
        <v>0</v>
      </c>
      <c r="H639" s="4">
        <v>17201532</v>
      </c>
      <c r="I639" s="3" t="s">
        <v>210</v>
      </c>
      <c r="J639" s="4">
        <v>4</v>
      </c>
      <c r="K639" s="3" t="s">
        <v>21</v>
      </c>
      <c r="L639" s="4">
        <v>742600</v>
      </c>
      <c r="M639" s="1">
        <f>O639*J639*K639</f>
        <v>0</v>
      </c>
      <c r="N639" s="3"/>
      <c r="O639" s="2">
        <f>L639/J639*(1-K639)</f>
        <v>185650</v>
      </c>
    </row>
    <row r="640" ht="14.25">
      <c r="A640" s="3" t="s">
        <v>97</v>
      </c>
      <c r="B640" s="3" t="s">
        <v>602</v>
      </c>
      <c r="C640" s="3" t="s">
        <v>609</v>
      </c>
      <c r="D640" s="3" t="s">
        <v>17</v>
      </c>
      <c r="E640" s="3" t="s">
        <v>610</v>
      </c>
      <c r="F640" s="3" t="s">
        <v>19</v>
      </c>
      <c r="G640" s="4">
        <v>0</v>
      </c>
      <c r="H640" s="4">
        <v>17201532</v>
      </c>
      <c r="I640" s="3" t="s">
        <v>38</v>
      </c>
      <c r="J640" s="4">
        <v>24</v>
      </c>
      <c r="K640" s="3" t="s">
        <v>21</v>
      </c>
      <c r="L640" s="4">
        <v>1024224</v>
      </c>
      <c r="M640" s="1">
        <f>O640*J640*K640</f>
        <v>0</v>
      </c>
      <c r="N640" s="3"/>
      <c r="O640" s="2">
        <f>L640/J640*(1-K640)</f>
        <v>42676</v>
      </c>
    </row>
    <row r="641" ht="14.25">
      <c r="A641" s="3" t="s">
        <v>97</v>
      </c>
      <c r="B641" s="3" t="s">
        <v>602</v>
      </c>
      <c r="C641" s="3" t="s">
        <v>609</v>
      </c>
      <c r="D641" s="3" t="s">
        <v>17</v>
      </c>
      <c r="E641" s="3" t="s">
        <v>610</v>
      </c>
      <c r="F641" s="3" t="s">
        <v>19</v>
      </c>
      <c r="G641" s="4">
        <v>0</v>
      </c>
      <c r="H641" s="4">
        <v>17201532</v>
      </c>
      <c r="I641" s="3" t="s">
        <v>69</v>
      </c>
      <c r="J641" s="4">
        <v>8</v>
      </c>
      <c r="K641" s="3" t="s">
        <v>21</v>
      </c>
      <c r="L641" s="4">
        <v>2999448</v>
      </c>
      <c r="M641" s="1">
        <f>O641*J641*K641</f>
        <v>0</v>
      </c>
      <c r="N641" s="3"/>
      <c r="O641" s="2">
        <f>L641/J641*(1-K641)</f>
        <v>374931</v>
      </c>
    </row>
    <row r="642" ht="14.25">
      <c r="A642" s="3" t="s">
        <v>97</v>
      </c>
      <c r="B642" s="3" t="s">
        <v>602</v>
      </c>
      <c r="C642" s="3" t="s">
        <v>609</v>
      </c>
      <c r="D642" s="3" t="s">
        <v>17</v>
      </c>
      <c r="E642" s="3" t="s">
        <v>610</v>
      </c>
      <c r="F642" s="3" t="s">
        <v>19</v>
      </c>
      <c r="G642" s="4">
        <v>0</v>
      </c>
      <c r="H642" s="4">
        <v>17201532</v>
      </c>
      <c r="I642" s="3" t="s">
        <v>611</v>
      </c>
      <c r="J642" s="4">
        <v>6</v>
      </c>
      <c r="K642" s="3" t="s">
        <v>21</v>
      </c>
      <c r="L642" s="4">
        <v>944136</v>
      </c>
      <c r="M642" s="1">
        <f>O642*J642*K642</f>
        <v>0</v>
      </c>
      <c r="N642" s="3"/>
      <c r="O642" s="2">
        <f>L642/J642*(1-K642)</f>
        <v>157356</v>
      </c>
    </row>
    <row r="643" ht="14.25">
      <c r="A643" s="3" t="s">
        <v>97</v>
      </c>
      <c r="B643" s="3" t="s">
        <v>254</v>
      </c>
      <c r="C643" s="3" t="s">
        <v>612</v>
      </c>
      <c r="D643" s="3" t="s">
        <v>17</v>
      </c>
      <c r="E643" s="3" t="s">
        <v>312</v>
      </c>
      <c r="F643" s="3" t="s">
        <v>19</v>
      </c>
      <c r="G643" s="4">
        <v>0</v>
      </c>
      <c r="H643" s="4">
        <v>93280720</v>
      </c>
      <c r="I643" s="3" t="s">
        <v>613</v>
      </c>
      <c r="J643" s="4">
        <v>3</v>
      </c>
      <c r="K643" s="3" t="s">
        <v>21</v>
      </c>
      <c r="L643" s="4">
        <v>18900000</v>
      </c>
      <c r="M643" s="1">
        <f>O643*J643*K643</f>
        <v>0</v>
      </c>
      <c r="N643" s="3"/>
      <c r="O643" s="2">
        <f>L643/J643*(1-K643)</f>
        <v>6300000</v>
      </c>
    </row>
    <row r="644" ht="14.25">
      <c r="A644" s="3" t="s">
        <v>97</v>
      </c>
      <c r="B644" s="3" t="s">
        <v>254</v>
      </c>
      <c r="C644" s="3" t="s">
        <v>612</v>
      </c>
      <c r="D644" s="3" t="s">
        <v>17</v>
      </c>
      <c r="E644" s="3" t="s">
        <v>312</v>
      </c>
      <c r="F644" s="3" t="s">
        <v>19</v>
      </c>
      <c r="G644" s="4">
        <v>0</v>
      </c>
      <c r="H644" s="4">
        <v>93280720</v>
      </c>
      <c r="I644" s="3" t="s">
        <v>511</v>
      </c>
      <c r="J644" s="4">
        <v>4</v>
      </c>
      <c r="K644" s="3" t="s">
        <v>21</v>
      </c>
      <c r="L644" s="4">
        <v>20800000</v>
      </c>
      <c r="M644" s="1">
        <f>O644*J644*K644</f>
        <v>0</v>
      </c>
      <c r="N644" s="3"/>
      <c r="O644" s="2">
        <f>L644/J644*(1-K644)</f>
        <v>5200000</v>
      </c>
    </row>
    <row r="645" ht="14.25">
      <c r="A645" s="3" t="s">
        <v>97</v>
      </c>
      <c r="B645" s="3" t="s">
        <v>254</v>
      </c>
      <c r="C645" s="3" t="s">
        <v>612</v>
      </c>
      <c r="D645" s="3" t="s">
        <v>17</v>
      </c>
      <c r="E645" s="3" t="s">
        <v>312</v>
      </c>
      <c r="F645" s="3" t="s">
        <v>19</v>
      </c>
      <c r="G645" s="4">
        <v>0</v>
      </c>
      <c r="H645" s="4">
        <v>93280720</v>
      </c>
      <c r="I645" s="3" t="s">
        <v>614</v>
      </c>
      <c r="J645" s="4">
        <v>1</v>
      </c>
      <c r="K645" s="3" t="s">
        <v>21</v>
      </c>
      <c r="L645" s="4">
        <v>5200000</v>
      </c>
      <c r="M645" s="1">
        <f>O645*J645*K645</f>
        <v>0</v>
      </c>
      <c r="N645" s="3"/>
      <c r="O645" s="2">
        <f>L645/J645*(1-K645)</f>
        <v>5200000</v>
      </c>
    </row>
    <row r="646" ht="14.25">
      <c r="A646" s="3" t="s">
        <v>97</v>
      </c>
      <c r="B646" s="3" t="s">
        <v>254</v>
      </c>
      <c r="C646" s="3" t="s">
        <v>612</v>
      </c>
      <c r="D646" s="3" t="s">
        <v>17</v>
      </c>
      <c r="E646" s="3" t="s">
        <v>312</v>
      </c>
      <c r="F646" s="3" t="s">
        <v>19</v>
      </c>
      <c r="G646" s="4">
        <v>0</v>
      </c>
      <c r="H646" s="4">
        <v>93280720</v>
      </c>
      <c r="I646" s="3" t="s">
        <v>615</v>
      </c>
      <c r="J646" s="4">
        <v>10</v>
      </c>
      <c r="K646" s="3" t="s">
        <v>21</v>
      </c>
      <c r="L646" s="4">
        <v>11615000</v>
      </c>
      <c r="M646" s="1">
        <f>O646*J646*K646</f>
        <v>0</v>
      </c>
      <c r="N646" s="3"/>
      <c r="O646" s="2">
        <f>L646/J646*(1-K646)</f>
        <v>1161500</v>
      </c>
    </row>
    <row r="647" ht="14.25">
      <c r="A647" s="3" t="s">
        <v>97</v>
      </c>
      <c r="B647" s="3" t="s">
        <v>254</v>
      </c>
      <c r="C647" s="3" t="s">
        <v>612</v>
      </c>
      <c r="D647" s="3" t="s">
        <v>17</v>
      </c>
      <c r="E647" s="3" t="s">
        <v>312</v>
      </c>
      <c r="F647" s="3" t="s">
        <v>19</v>
      </c>
      <c r="G647" s="4">
        <v>0</v>
      </c>
      <c r="H647" s="4">
        <v>93280720</v>
      </c>
      <c r="I647" s="3" t="s">
        <v>616</v>
      </c>
      <c r="J647" s="4">
        <v>187</v>
      </c>
      <c r="K647" s="3" t="s">
        <v>21</v>
      </c>
      <c r="L647" s="4">
        <v>7480000</v>
      </c>
      <c r="M647" s="1">
        <f>O647*J647*K647</f>
        <v>0</v>
      </c>
      <c r="N647" s="3"/>
      <c r="O647" s="2">
        <f>L647/J647*(1-K647)</f>
        <v>40000</v>
      </c>
    </row>
    <row r="648" ht="14.25">
      <c r="A648" s="3" t="s">
        <v>97</v>
      </c>
      <c r="B648" s="3" t="s">
        <v>254</v>
      </c>
      <c r="C648" s="3" t="s">
        <v>612</v>
      </c>
      <c r="D648" s="3" t="s">
        <v>17</v>
      </c>
      <c r="E648" s="3" t="s">
        <v>312</v>
      </c>
      <c r="F648" s="3" t="s">
        <v>19</v>
      </c>
      <c r="G648" s="4">
        <v>0</v>
      </c>
      <c r="H648" s="4">
        <v>93280720</v>
      </c>
      <c r="I648" s="3" t="s">
        <v>144</v>
      </c>
      <c r="J648" s="4">
        <v>240</v>
      </c>
      <c r="K648" s="3" t="s">
        <v>21</v>
      </c>
      <c r="L648" s="4">
        <v>15172320</v>
      </c>
      <c r="M648" s="1">
        <f>O648*J648*K648</f>
        <v>0</v>
      </c>
      <c r="N648" s="3"/>
      <c r="O648" s="2">
        <f>L648/J648*(1-K648)</f>
        <v>63218</v>
      </c>
    </row>
    <row r="649" ht="14.25">
      <c r="A649" s="3" t="s">
        <v>97</v>
      </c>
      <c r="B649" s="3" t="s">
        <v>254</v>
      </c>
      <c r="C649" s="3" t="s">
        <v>612</v>
      </c>
      <c r="D649" s="3" t="s">
        <v>17</v>
      </c>
      <c r="E649" s="3" t="s">
        <v>312</v>
      </c>
      <c r="F649" s="3" t="s">
        <v>19</v>
      </c>
      <c r="G649" s="4">
        <v>0</v>
      </c>
      <c r="H649" s="4">
        <v>93280720</v>
      </c>
      <c r="I649" s="3" t="s">
        <v>617</v>
      </c>
      <c r="J649" s="4">
        <v>10</v>
      </c>
      <c r="K649" s="3" t="s">
        <v>21</v>
      </c>
      <c r="L649" s="4">
        <v>3965840</v>
      </c>
      <c r="M649" s="1">
        <f>O649*J649*K649</f>
        <v>0</v>
      </c>
      <c r="N649" s="3"/>
      <c r="O649" s="2">
        <f>L649/J649*(1-K649)</f>
        <v>396584</v>
      </c>
    </row>
    <row r="650" ht="14.25">
      <c r="A650" s="3" t="s">
        <v>97</v>
      </c>
      <c r="B650" s="3" t="s">
        <v>254</v>
      </c>
      <c r="C650" s="3" t="s">
        <v>612</v>
      </c>
      <c r="D650" s="3" t="s">
        <v>17</v>
      </c>
      <c r="E650" s="3" t="s">
        <v>312</v>
      </c>
      <c r="F650" s="3" t="s">
        <v>19</v>
      </c>
      <c r="G650" s="4">
        <v>0</v>
      </c>
      <c r="H650" s="4">
        <v>93280720</v>
      </c>
      <c r="I650" s="3" t="s">
        <v>618</v>
      </c>
      <c r="J650" s="4">
        <v>20</v>
      </c>
      <c r="K650" s="3" t="s">
        <v>21</v>
      </c>
      <c r="L650" s="4">
        <v>3515500</v>
      </c>
      <c r="M650" s="1">
        <f>O650*J650*K650</f>
        <v>0</v>
      </c>
      <c r="N650" s="3"/>
      <c r="O650" s="2">
        <f>L650/J650*(1-K650)</f>
        <v>175775</v>
      </c>
    </row>
    <row r="651" ht="14.25">
      <c r="A651" s="3" t="s">
        <v>97</v>
      </c>
      <c r="B651" s="3" t="s">
        <v>254</v>
      </c>
      <c r="C651" s="3" t="s">
        <v>612</v>
      </c>
      <c r="D651" s="3" t="s">
        <v>17</v>
      </c>
      <c r="E651" s="3" t="s">
        <v>312</v>
      </c>
      <c r="F651" s="3" t="s">
        <v>19</v>
      </c>
      <c r="G651" s="4">
        <v>0</v>
      </c>
      <c r="H651" s="4">
        <v>93280720</v>
      </c>
      <c r="I651" s="3" t="s">
        <v>127</v>
      </c>
      <c r="J651" s="4">
        <v>12</v>
      </c>
      <c r="K651" s="3" t="s">
        <v>21</v>
      </c>
      <c r="L651" s="4">
        <v>1927740</v>
      </c>
      <c r="M651" s="1">
        <f>O651*J651*K651</f>
        <v>0</v>
      </c>
      <c r="N651" s="3"/>
      <c r="O651" s="2">
        <f>L651/J651*(1-K651)</f>
        <v>160645</v>
      </c>
    </row>
    <row r="652" ht="14.25">
      <c r="A652" s="3" t="s">
        <v>97</v>
      </c>
      <c r="B652" s="3" t="s">
        <v>254</v>
      </c>
      <c r="C652" s="3" t="s">
        <v>612</v>
      </c>
      <c r="D652" s="3" t="s">
        <v>17</v>
      </c>
      <c r="E652" s="3" t="s">
        <v>312</v>
      </c>
      <c r="F652" s="3" t="s">
        <v>19</v>
      </c>
      <c r="G652" s="4">
        <v>0</v>
      </c>
      <c r="H652" s="4">
        <v>93280720</v>
      </c>
      <c r="I652" s="3" t="s">
        <v>187</v>
      </c>
      <c r="J652" s="4">
        <v>20</v>
      </c>
      <c r="K652" s="3" t="s">
        <v>21</v>
      </c>
      <c r="L652" s="4">
        <v>879320</v>
      </c>
      <c r="M652" s="1">
        <f>O652*J652*K652</f>
        <v>0</v>
      </c>
      <c r="N652" s="3"/>
      <c r="O652" s="2">
        <f>L652/J652*(1-K652)</f>
        <v>43966</v>
      </c>
    </row>
    <row r="653" ht="14.25">
      <c r="A653" s="3" t="s">
        <v>97</v>
      </c>
      <c r="B653" s="3" t="s">
        <v>254</v>
      </c>
      <c r="C653" s="3" t="s">
        <v>612</v>
      </c>
      <c r="D653" s="3" t="s">
        <v>17</v>
      </c>
      <c r="E653" s="3" t="s">
        <v>312</v>
      </c>
      <c r="F653" s="3" t="s">
        <v>19</v>
      </c>
      <c r="G653" s="4">
        <v>0</v>
      </c>
      <c r="H653" s="4">
        <v>93280720</v>
      </c>
      <c r="I653" s="3" t="s">
        <v>172</v>
      </c>
      <c r="J653" s="4">
        <v>3</v>
      </c>
      <c r="K653" s="3" t="s">
        <v>21</v>
      </c>
      <c r="L653" s="4">
        <v>1905000</v>
      </c>
      <c r="M653" s="1">
        <f>O653*J653*K653</f>
        <v>0</v>
      </c>
      <c r="N653" s="3"/>
      <c r="O653" s="2">
        <f>L653/J653*(1-K653)</f>
        <v>635000</v>
      </c>
    </row>
    <row r="654" ht="14.25">
      <c r="A654" s="3" t="s">
        <v>97</v>
      </c>
      <c r="B654" s="3" t="s">
        <v>254</v>
      </c>
      <c r="C654" s="3" t="s">
        <v>612</v>
      </c>
      <c r="D654" s="3" t="s">
        <v>17</v>
      </c>
      <c r="E654" s="3" t="s">
        <v>312</v>
      </c>
      <c r="F654" s="3" t="s">
        <v>19</v>
      </c>
      <c r="G654" s="4">
        <v>0</v>
      </c>
      <c r="H654" s="4">
        <v>93280720</v>
      </c>
      <c r="I654" s="3" t="s">
        <v>619</v>
      </c>
      <c r="J654" s="4">
        <v>35</v>
      </c>
      <c r="K654" s="3" t="s">
        <v>21</v>
      </c>
      <c r="L654" s="4">
        <v>420000</v>
      </c>
      <c r="M654" s="1">
        <f>O654*J654*K654</f>
        <v>0</v>
      </c>
      <c r="N654" s="3"/>
      <c r="O654" s="2">
        <f>L654/J654*(1-K654)</f>
        <v>12000</v>
      </c>
    </row>
    <row r="655" ht="14.25">
      <c r="A655" s="3" t="s">
        <v>97</v>
      </c>
      <c r="B655" s="3" t="s">
        <v>254</v>
      </c>
      <c r="C655" s="3" t="s">
        <v>612</v>
      </c>
      <c r="D655" s="3" t="s">
        <v>17</v>
      </c>
      <c r="E655" s="3" t="s">
        <v>312</v>
      </c>
      <c r="F655" s="3" t="s">
        <v>19</v>
      </c>
      <c r="G655" s="4">
        <v>0</v>
      </c>
      <c r="H655" s="4">
        <v>93280720</v>
      </c>
      <c r="I655" s="3" t="s">
        <v>620</v>
      </c>
      <c r="J655" s="4">
        <v>2</v>
      </c>
      <c r="K655" s="3" t="s">
        <v>21</v>
      </c>
      <c r="L655" s="4">
        <v>1500000</v>
      </c>
      <c r="M655" s="1">
        <f>O655*J655*K655</f>
        <v>0</v>
      </c>
      <c r="N655" s="3"/>
      <c r="O655" s="2">
        <f>L655/J655*(1-K655)</f>
        <v>750000</v>
      </c>
    </row>
    <row r="656" ht="14.25">
      <c r="A656" s="3" t="s">
        <v>97</v>
      </c>
      <c r="B656" s="3" t="s">
        <v>254</v>
      </c>
      <c r="C656" s="3" t="s">
        <v>621</v>
      </c>
      <c r="D656" s="3" t="s">
        <v>17</v>
      </c>
      <c r="E656" s="3" t="s">
        <v>312</v>
      </c>
      <c r="F656" s="3" t="s">
        <v>19</v>
      </c>
      <c r="G656" s="4">
        <v>0</v>
      </c>
      <c r="H656" s="4">
        <v>300000</v>
      </c>
      <c r="I656" s="3" t="s">
        <v>341</v>
      </c>
      <c r="J656" s="4">
        <v>6</v>
      </c>
      <c r="K656" s="3" t="s">
        <v>21</v>
      </c>
      <c r="L656" s="4">
        <v>300000</v>
      </c>
      <c r="M656" s="1">
        <f>O656*J656*K656</f>
        <v>0</v>
      </c>
      <c r="N656" s="3"/>
      <c r="O656" s="2">
        <f>L656/J656*(1-K656)</f>
        <v>50000</v>
      </c>
    </row>
    <row r="657" ht="14.25">
      <c r="A657" s="3" t="s">
        <v>97</v>
      </c>
      <c r="B657" s="3" t="s">
        <v>254</v>
      </c>
      <c r="C657" s="3" t="s">
        <v>621</v>
      </c>
      <c r="D657" s="3" t="s">
        <v>17</v>
      </c>
      <c r="E657" s="3" t="s">
        <v>312</v>
      </c>
      <c r="F657" s="3" t="s">
        <v>19</v>
      </c>
      <c r="G657" s="4">
        <v>0</v>
      </c>
      <c r="H657" s="4">
        <v>300000</v>
      </c>
      <c r="I657" s="3" t="s">
        <v>622</v>
      </c>
      <c r="J657" s="4">
        <v>11</v>
      </c>
      <c r="K657" s="3" t="s">
        <v>21</v>
      </c>
      <c r="L657" s="4">
        <v>0</v>
      </c>
      <c r="M657" s="1">
        <f>O657*J657*K657</f>
        <v>0</v>
      </c>
      <c r="N657" s="3"/>
      <c r="O657" s="2">
        <f>L657/J657*(1-K657)</f>
        <v>0</v>
      </c>
    </row>
    <row r="658" ht="14.25">
      <c r="A658" s="3" t="s">
        <v>97</v>
      </c>
      <c r="B658" s="3" t="s">
        <v>254</v>
      </c>
      <c r="C658" s="3" t="s">
        <v>621</v>
      </c>
      <c r="D658" s="3" t="s">
        <v>17</v>
      </c>
      <c r="E658" s="3" t="s">
        <v>312</v>
      </c>
      <c r="F658" s="3" t="s">
        <v>19</v>
      </c>
      <c r="G658" s="4">
        <v>0</v>
      </c>
      <c r="H658" s="4">
        <v>300000</v>
      </c>
      <c r="I658" s="3" t="s">
        <v>623</v>
      </c>
      <c r="J658" s="4">
        <v>12</v>
      </c>
      <c r="K658" s="3" t="s">
        <v>21</v>
      </c>
      <c r="L658" s="4">
        <v>0</v>
      </c>
      <c r="M658" s="1">
        <f>O658*J658*K658</f>
        <v>0</v>
      </c>
      <c r="N658" s="3"/>
      <c r="O658" s="2">
        <f>L658/J658*(1-K658)</f>
        <v>0</v>
      </c>
    </row>
    <row r="659" ht="14.25">
      <c r="A659" s="3" t="s">
        <v>413</v>
      </c>
      <c r="B659" s="3" t="s">
        <v>624</v>
      </c>
      <c r="C659" s="3" t="s">
        <v>625</v>
      </c>
      <c r="D659" s="3" t="s">
        <v>17</v>
      </c>
      <c r="E659" s="3" t="s">
        <v>168</v>
      </c>
      <c r="F659" s="3" t="s">
        <v>19</v>
      </c>
      <c r="G659" s="4">
        <v>0</v>
      </c>
      <c r="H659" s="4">
        <v>1340000</v>
      </c>
      <c r="I659" s="3" t="s">
        <v>423</v>
      </c>
      <c r="J659" s="4">
        <v>20</v>
      </c>
      <c r="K659" s="3" t="s">
        <v>21</v>
      </c>
      <c r="L659" s="4">
        <v>670000</v>
      </c>
      <c r="M659" s="1">
        <f>O659*J659*K659</f>
        <v>0</v>
      </c>
      <c r="N659" s="3"/>
      <c r="O659" s="2">
        <f>L659/J659*(1-K659)</f>
        <v>33500</v>
      </c>
    </row>
    <row r="660" ht="14.25">
      <c r="A660" s="3" t="s">
        <v>413</v>
      </c>
      <c r="B660" s="3" t="s">
        <v>624</v>
      </c>
      <c r="C660" s="3" t="s">
        <v>625</v>
      </c>
      <c r="D660" s="3" t="s">
        <v>17</v>
      </c>
      <c r="E660" s="3" t="s">
        <v>168</v>
      </c>
      <c r="F660" s="3" t="s">
        <v>19</v>
      </c>
      <c r="G660" s="4">
        <v>0</v>
      </c>
      <c r="H660" s="4">
        <v>1340000</v>
      </c>
      <c r="I660" s="3" t="s">
        <v>467</v>
      </c>
      <c r="J660" s="4">
        <v>20</v>
      </c>
      <c r="K660" s="3" t="s">
        <v>21</v>
      </c>
      <c r="L660" s="4">
        <v>670000</v>
      </c>
      <c r="M660" s="1">
        <f>O660*J660*K660</f>
        <v>0</v>
      </c>
      <c r="N660" s="3"/>
      <c r="O660" s="2">
        <f>L660/J660*(1-K660)</f>
        <v>33500</v>
      </c>
    </row>
    <row r="661" ht="14.25">
      <c r="A661" s="3" t="s">
        <v>413</v>
      </c>
      <c r="B661" s="3" t="s">
        <v>626</v>
      </c>
      <c r="C661" s="3" t="s">
        <v>627</v>
      </c>
      <c r="D661" s="3" t="s">
        <v>17</v>
      </c>
      <c r="E661" s="3" t="s">
        <v>34</v>
      </c>
      <c r="F661" s="3" t="s">
        <v>19</v>
      </c>
      <c r="G661" s="4">
        <v>0</v>
      </c>
      <c r="H661" s="4">
        <v>21608352</v>
      </c>
      <c r="I661" s="3" t="s">
        <v>39</v>
      </c>
      <c r="J661" s="4">
        <v>3</v>
      </c>
      <c r="K661" s="3" t="s">
        <v>21</v>
      </c>
      <c r="L661" s="4">
        <v>9600000</v>
      </c>
      <c r="M661" s="1">
        <f>O661*J661*K661</f>
        <v>0</v>
      </c>
      <c r="N661" s="3"/>
      <c r="O661" s="2">
        <f>L661/J661*(1-K661)</f>
        <v>3200000</v>
      </c>
    </row>
    <row r="662" ht="14.25">
      <c r="A662" s="3" t="s">
        <v>413</v>
      </c>
      <c r="B662" s="3" t="s">
        <v>626</v>
      </c>
      <c r="C662" s="3" t="s">
        <v>627</v>
      </c>
      <c r="D662" s="3" t="s">
        <v>17</v>
      </c>
      <c r="E662" s="3" t="s">
        <v>34</v>
      </c>
      <c r="F662" s="3" t="s">
        <v>19</v>
      </c>
      <c r="G662" s="4">
        <v>0</v>
      </c>
      <c r="H662" s="4">
        <v>21608352</v>
      </c>
      <c r="I662" s="3" t="s">
        <v>121</v>
      </c>
      <c r="J662" s="4">
        <v>2</v>
      </c>
      <c r="K662" s="3" t="s">
        <v>21</v>
      </c>
      <c r="L662" s="4">
        <v>6400000</v>
      </c>
      <c r="M662" s="1">
        <f>O662*J662*K662</f>
        <v>0</v>
      </c>
      <c r="N662" s="3"/>
      <c r="O662" s="2">
        <f>L662/J662*(1-K662)</f>
        <v>3200000</v>
      </c>
    </row>
    <row r="663" ht="14.25">
      <c r="A663" s="3" t="s">
        <v>413</v>
      </c>
      <c r="B663" s="3" t="s">
        <v>626</v>
      </c>
      <c r="C663" s="3" t="s">
        <v>627</v>
      </c>
      <c r="D663" s="3" t="s">
        <v>17</v>
      </c>
      <c r="E663" s="3" t="s">
        <v>34</v>
      </c>
      <c r="F663" s="3" t="s">
        <v>19</v>
      </c>
      <c r="G663" s="4">
        <v>0</v>
      </c>
      <c r="H663" s="4">
        <v>21608352</v>
      </c>
      <c r="I663" s="3" t="s">
        <v>29</v>
      </c>
      <c r="J663" s="4">
        <v>5</v>
      </c>
      <c r="K663" s="3" t="s">
        <v>21</v>
      </c>
      <c r="L663" s="4">
        <v>2400000</v>
      </c>
      <c r="M663" s="1">
        <f>O663*J663*K663</f>
        <v>0</v>
      </c>
      <c r="N663" s="3"/>
      <c r="O663" s="2">
        <f>L663/J663*(1-K663)</f>
        <v>480000</v>
      </c>
    </row>
    <row r="664" ht="14.25">
      <c r="A664" s="3" t="s">
        <v>413</v>
      </c>
      <c r="B664" s="3" t="s">
        <v>626</v>
      </c>
      <c r="C664" s="3" t="s">
        <v>627</v>
      </c>
      <c r="D664" s="3" t="s">
        <v>17</v>
      </c>
      <c r="E664" s="3" t="s">
        <v>34</v>
      </c>
      <c r="F664" s="3" t="s">
        <v>19</v>
      </c>
      <c r="G664" s="4">
        <v>0</v>
      </c>
      <c r="H664" s="4">
        <v>21608352</v>
      </c>
      <c r="I664" s="3" t="s">
        <v>57</v>
      </c>
      <c r="J664" s="4">
        <v>48</v>
      </c>
      <c r="K664" s="3" t="s">
        <v>21</v>
      </c>
      <c r="L664" s="4">
        <v>1056000</v>
      </c>
      <c r="M664" s="1">
        <f>O664*J664*K664</f>
        <v>0</v>
      </c>
      <c r="N664" s="3"/>
      <c r="O664" s="2">
        <f>L664/J664*(1-K664)</f>
        <v>22000</v>
      </c>
    </row>
    <row r="665" ht="14.25">
      <c r="A665" s="3" t="s">
        <v>413</v>
      </c>
      <c r="B665" s="3" t="s">
        <v>626</v>
      </c>
      <c r="C665" s="3" t="s">
        <v>627</v>
      </c>
      <c r="D665" s="3" t="s">
        <v>17</v>
      </c>
      <c r="E665" s="3" t="s">
        <v>34</v>
      </c>
      <c r="F665" s="3" t="s">
        <v>19</v>
      </c>
      <c r="G665" s="4">
        <v>0</v>
      </c>
      <c r="H665" s="4">
        <v>21608352</v>
      </c>
      <c r="I665" s="3" t="s">
        <v>37</v>
      </c>
      <c r="J665" s="4">
        <v>24</v>
      </c>
      <c r="K665" s="3" t="s">
        <v>21</v>
      </c>
      <c r="L665" s="4">
        <v>528000</v>
      </c>
      <c r="M665" s="1">
        <f>O665*J665*K665</f>
        <v>0</v>
      </c>
      <c r="N665" s="3"/>
      <c r="O665" s="2">
        <f>L665/J665*(1-K665)</f>
        <v>22000</v>
      </c>
    </row>
    <row r="666" ht="14.25">
      <c r="A666" s="3" t="s">
        <v>413</v>
      </c>
      <c r="B666" s="3" t="s">
        <v>626</v>
      </c>
      <c r="C666" s="3" t="s">
        <v>627</v>
      </c>
      <c r="D666" s="3" t="s">
        <v>17</v>
      </c>
      <c r="E666" s="3" t="s">
        <v>34</v>
      </c>
      <c r="F666" s="3" t="s">
        <v>19</v>
      </c>
      <c r="G666" s="4">
        <v>0</v>
      </c>
      <c r="H666" s="4">
        <v>21608352</v>
      </c>
      <c r="I666" s="3" t="s">
        <v>55</v>
      </c>
      <c r="J666" s="4">
        <v>8</v>
      </c>
      <c r="K666" s="3" t="s">
        <v>21</v>
      </c>
      <c r="L666" s="4">
        <v>1624352</v>
      </c>
      <c r="M666" s="1">
        <f>O666*J666*K666</f>
        <v>0</v>
      </c>
      <c r="N666" s="3"/>
      <c r="O666" s="2">
        <f>L666/J666*(1-K666)</f>
        <v>203044</v>
      </c>
    </row>
    <row r="667" ht="14.25">
      <c r="A667" s="3" t="s">
        <v>413</v>
      </c>
      <c r="B667" s="3" t="s">
        <v>626</v>
      </c>
      <c r="C667" s="3" t="s">
        <v>628</v>
      </c>
      <c r="D667" s="3" t="s">
        <v>17</v>
      </c>
      <c r="E667" s="3" t="s">
        <v>174</v>
      </c>
      <c r="F667" s="3" t="s">
        <v>19</v>
      </c>
      <c r="G667" s="4">
        <v>0</v>
      </c>
      <c r="H667" s="4">
        <v>21020750</v>
      </c>
      <c r="I667" s="3" t="s">
        <v>607</v>
      </c>
      <c r="J667" s="4">
        <v>10</v>
      </c>
      <c r="K667" s="3" t="s">
        <v>21</v>
      </c>
      <c r="L667" s="4">
        <v>6200000</v>
      </c>
      <c r="M667" s="1">
        <f>O667*J667*K667</f>
        <v>0</v>
      </c>
      <c r="N667" s="3"/>
      <c r="O667" s="2">
        <f>L667/J667*(1-K667)</f>
        <v>620000</v>
      </c>
    </row>
    <row r="668" ht="14.25">
      <c r="A668" s="3" t="s">
        <v>413</v>
      </c>
      <c r="B668" s="3" t="s">
        <v>626</v>
      </c>
      <c r="C668" s="3" t="s">
        <v>628</v>
      </c>
      <c r="D668" s="3" t="s">
        <v>17</v>
      </c>
      <c r="E668" s="3" t="s">
        <v>174</v>
      </c>
      <c r="F668" s="3" t="s">
        <v>19</v>
      </c>
      <c r="G668" s="4">
        <v>0</v>
      </c>
      <c r="H668" s="4">
        <v>21020750</v>
      </c>
      <c r="I668" s="3" t="s">
        <v>629</v>
      </c>
      <c r="J668" s="4">
        <v>5</v>
      </c>
      <c r="K668" s="3" t="s">
        <v>21</v>
      </c>
      <c r="L668" s="4">
        <v>3100000</v>
      </c>
      <c r="M668" s="1">
        <f>O668*J668*K668</f>
        <v>0</v>
      </c>
      <c r="N668" s="3"/>
      <c r="O668" s="2">
        <f>L668/J668*(1-K668)</f>
        <v>620000</v>
      </c>
    </row>
    <row r="669" ht="14.25">
      <c r="A669" s="3" t="s">
        <v>413</v>
      </c>
      <c r="B669" s="3" t="s">
        <v>626</v>
      </c>
      <c r="C669" s="3" t="s">
        <v>628</v>
      </c>
      <c r="D669" s="3" t="s">
        <v>17</v>
      </c>
      <c r="E669" s="3" t="s">
        <v>174</v>
      </c>
      <c r="F669" s="3" t="s">
        <v>19</v>
      </c>
      <c r="G669" s="4">
        <v>0</v>
      </c>
      <c r="H669" s="4">
        <v>21020750</v>
      </c>
      <c r="I669" s="3" t="s">
        <v>147</v>
      </c>
      <c r="J669" s="4">
        <v>5</v>
      </c>
      <c r="K669" s="3" t="s">
        <v>21</v>
      </c>
      <c r="L669" s="4">
        <v>3250000</v>
      </c>
      <c r="M669" s="1">
        <f>O669*J669*K669</f>
        <v>0</v>
      </c>
      <c r="N669" s="3"/>
      <c r="O669" s="2">
        <f>L669/J669*(1-K669)</f>
        <v>650000</v>
      </c>
    </row>
    <row r="670" ht="14.25">
      <c r="A670" s="3" t="s">
        <v>413</v>
      </c>
      <c r="B670" s="3" t="s">
        <v>626</v>
      </c>
      <c r="C670" s="3" t="s">
        <v>628</v>
      </c>
      <c r="D670" s="3" t="s">
        <v>17</v>
      </c>
      <c r="E670" s="3" t="s">
        <v>174</v>
      </c>
      <c r="F670" s="3" t="s">
        <v>19</v>
      </c>
      <c r="G670" s="4">
        <v>0</v>
      </c>
      <c r="H670" s="4">
        <v>21020750</v>
      </c>
      <c r="I670" s="3" t="s">
        <v>89</v>
      </c>
      <c r="J670" s="4">
        <v>6</v>
      </c>
      <c r="K670" s="3" t="s">
        <v>21</v>
      </c>
      <c r="L670" s="4">
        <v>2167830</v>
      </c>
      <c r="M670" s="1">
        <f>O670*J670*K670</f>
        <v>0</v>
      </c>
      <c r="N670" s="3"/>
      <c r="O670" s="2">
        <f>L670/J670*(1-K670)</f>
        <v>361305</v>
      </c>
    </row>
    <row r="671" ht="14.25">
      <c r="A671" s="3" t="s">
        <v>413</v>
      </c>
      <c r="B671" s="3" t="s">
        <v>626</v>
      </c>
      <c r="C671" s="3" t="s">
        <v>628</v>
      </c>
      <c r="D671" s="3" t="s">
        <v>17</v>
      </c>
      <c r="E671" s="3" t="s">
        <v>174</v>
      </c>
      <c r="F671" s="3" t="s">
        <v>19</v>
      </c>
      <c r="G671" s="4">
        <v>0</v>
      </c>
      <c r="H671" s="4">
        <v>21020750</v>
      </c>
      <c r="I671" s="3" t="s">
        <v>67</v>
      </c>
      <c r="J671" s="4">
        <v>12</v>
      </c>
      <c r="K671" s="3" t="s">
        <v>21</v>
      </c>
      <c r="L671" s="4">
        <v>3052920</v>
      </c>
      <c r="M671" s="1">
        <f>O671*J671*K671</f>
        <v>0</v>
      </c>
      <c r="N671" s="3"/>
      <c r="O671" s="2">
        <f>L671/J671*(1-K671)</f>
        <v>254410</v>
      </c>
    </row>
    <row r="672" ht="14.25">
      <c r="A672" s="3" t="s">
        <v>413</v>
      </c>
      <c r="B672" s="3" t="s">
        <v>626</v>
      </c>
      <c r="C672" s="3" t="s">
        <v>628</v>
      </c>
      <c r="D672" s="3" t="s">
        <v>17</v>
      </c>
      <c r="E672" s="3" t="s">
        <v>174</v>
      </c>
      <c r="F672" s="3" t="s">
        <v>19</v>
      </c>
      <c r="G672" s="4">
        <v>0</v>
      </c>
      <c r="H672" s="4">
        <v>21020750</v>
      </c>
      <c r="I672" s="3" t="s">
        <v>188</v>
      </c>
      <c r="J672" s="4">
        <v>5</v>
      </c>
      <c r="K672" s="3" t="s">
        <v>21</v>
      </c>
      <c r="L672" s="4">
        <v>3250000</v>
      </c>
      <c r="M672" s="1">
        <f>O672*J672*K672</f>
        <v>0</v>
      </c>
      <c r="N672" s="3"/>
      <c r="O672" s="2">
        <f>L672/J672*(1-K672)</f>
        <v>650000</v>
      </c>
    </row>
    <row r="673" ht="14.25">
      <c r="A673" s="3" t="s">
        <v>413</v>
      </c>
      <c r="B673" s="3" t="s">
        <v>626</v>
      </c>
      <c r="C673" s="3" t="s">
        <v>630</v>
      </c>
      <c r="D673" s="3" t="s">
        <v>17</v>
      </c>
      <c r="E673" s="3" t="s">
        <v>309</v>
      </c>
      <c r="F673" s="3" t="s">
        <v>19</v>
      </c>
      <c r="G673" s="4">
        <v>0</v>
      </c>
      <c r="H673" s="4">
        <v>2650000</v>
      </c>
      <c r="I673" s="3" t="s">
        <v>136</v>
      </c>
      <c r="J673" s="4">
        <v>2</v>
      </c>
      <c r="K673" s="3" t="s">
        <v>21</v>
      </c>
      <c r="L673" s="4">
        <v>2650000</v>
      </c>
      <c r="M673" s="1">
        <f>O673*J673*K673</f>
        <v>0</v>
      </c>
      <c r="N673" s="3"/>
      <c r="O673" s="2">
        <f>L673/J673*(1-K673)</f>
        <v>1325000</v>
      </c>
    </row>
    <row r="674" ht="14.25">
      <c r="A674" s="3" t="s">
        <v>413</v>
      </c>
      <c r="B674" s="3" t="s">
        <v>626</v>
      </c>
      <c r="C674" s="3" t="s">
        <v>631</v>
      </c>
      <c r="D674" s="3" t="s">
        <v>17</v>
      </c>
      <c r="E674" s="3" t="s">
        <v>286</v>
      </c>
      <c r="F674" s="3" t="s">
        <v>19</v>
      </c>
      <c r="G674" s="4">
        <v>0</v>
      </c>
      <c r="H674" s="4">
        <v>28796000</v>
      </c>
      <c r="I674" s="3" t="s">
        <v>108</v>
      </c>
      <c r="J674" s="4">
        <v>600</v>
      </c>
      <c r="K674" s="3" t="s">
        <v>21</v>
      </c>
      <c r="L674" s="4">
        <v>13800000</v>
      </c>
      <c r="M674" s="1">
        <f>O674*J674*K674</f>
        <v>0</v>
      </c>
      <c r="N674" s="3"/>
      <c r="O674" s="2">
        <f>L674/J674*(1-K674)</f>
        <v>23000</v>
      </c>
    </row>
    <row r="675" ht="14.25">
      <c r="A675" s="3" t="s">
        <v>413</v>
      </c>
      <c r="B675" s="3" t="s">
        <v>626</v>
      </c>
      <c r="C675" s="3" t="s">
        <v>631</v>
      </c>
      <c r="D675" s="3" t="s">
        <v>17</v>
      </c>
      <c r="E675" s="3" t="s">
        <v>286</v>
      </c>
      <c r="F675" s="3" t="s">
        <v>19</v>
      </c>
      <c r="G675" s="4">
        <v>0</v>
      </c>
      <c r="H675" s="4">
        <v>28796000</v>
      </c>
      <c r="I675" s="3" t="s">
        <v>32</v>
      </c>
      <c r="J675" s="4">
        <v>600</v>
      </c>
      <c r="K675" s="3" t="s">
        <v>21</v>
      </c>
      <c r="L675" s="4">
        <v>13500000</v>
      </c>
      <c r="M675" s="1">
        <f>O675*J675*K675</f>
        <v>0</v>
      </c>
      <c r="N675" s="3"/>
      <c r="O675" s="2">
        <f>L675/J675*(1-K675)</f>
        <v>22500</v>
      </c>
    </row>
    <row r="676" ht="14.25">
      <c r="A676" s="3" t="s">
        <v>413</v>
      </c>
      <c r="B676" s="3" t="s">
        <v>626</v>
      </c>
      <c r="C676" s="3" t="s">
        <v>631</v>
      </c>
      <c r="D676" s="3" t="s">
        <v>17</v>
      </c>
      <c r="E676" s="3" t="s">
        <v>286</v>
      </c>
      <c r="F676" s="3" t="s">
        <v>19</v>
      </c>
      <c r="G676" s="4">
        <v>0</v>
      </c>
      <c r="H676" s="4">
        <v>28796000</v>
      </c>
      <c r="I676" s="3" t="s">
        <v>287</v>
      </c>
      <c r="J676" s="4">
        <v>12</v>
      </c>
      <c r="K676" s="3" t="s">
        <v>21</v>
      </c>
      <c r="L676" s="4">
        <v>1440000</v>
      </c>
      <c r="M676" s="1">
        <f>O676*J676*K676</f>
        <v>0</v>
      </c>
      <c r="N676" s="3"/>
      <c r="O676" s="2">
        <f>L676/J676*(1-K676)</f>
        <v>120000</v>
      </c>
    </row>
    <row r="677" ht="14.25">
      <c r="A677" s="3" t="s">
        <v>413</v>
      </c>
      <c r="B677" s="3" t="s">
        <v>626</v>
      </c>
      <c r="C677" s="3" t="s">
        <v>631</v>
      </c>
      <c r="D677" s="3" t="s">
        <v>17</v>
      </c>
      <c r="E677" s="3" t="s">
        <v>286</v>
      </c>
      <c r="F677" s="3" t="s">
        <v>19</v>
      </c>
      <c r="G677" s="4">
        <v>0</v>
      </c>
      <c r="H677" s="4">
        <v>28796000</v>
      </c>
      <c r="I677" s="3" t="s">
        <v>161</v>
      </c>
      <c r="J677" s="4">
        <v>192</v>
      </c>
      <c r="K677" s="3" t="s">
        <v>21</v>
      </c>
      <c r="L677" s="4">
        <v>1056000</v>
      </c>
      <c r="M677" s="1">
        <f>O677*J677*K677</f>
        <v>0</v>
      </c>
      <c r="N677" s="3"/>
      <c r="O677" s="2">
        <f>L677/J677*(1-K677)</f>
        <v>5500</v>
      </c>
    </row>
    <row r="678" ht="14.25">
      <c r="A678" s="3" t="s">
        <v>413</v>
      </c>
      <c r="B678" s="3" t="s">
        <v>626</v>
      </c>
      <c r="C678" s="3" t="s">
        <v>632</v>
      </c>
      <c r="D678" s="3" t="s">
        <v>17</v>
      </c>
      <c r="E678" s="3" t="s">
        <v>360</v>
      </c>
      <c r="F678" s="3" t="s">
        <v>19</v>
      </c>
      <c r="G678" s="4">
        <v>0</v>
      </c>
      <c r="H678" s="4">
        <v>24870352</v>
      </c>
      <c r="I678" s="3" t="s">
        <v>32</v>
      </c>
      <c r="J678" s="4">
        <v>480</v>
      </c>
      <c r="K678" s="3" t="s">
        <v>21</v>
      </c>
      <c r="L678" s="4">
        <v>10800000</v>
      </c>
      <c r="M678" s="1">
        <f>O678*J678*K678</f>
        <v>0</v>
      </c>
      <c r="N678" s="3"/>
      <c r="O678" s="2">
        <f>L678/J678*(1-K678)</f>
        <v>22500</v>
      </c>
    </row>
    <row r="679" ht="14.25">
      <c r="A679" s="3" t="s">
        <v>413</v>
      </c>
      <c r="B679" s="3" t="s">
        <v>626</v>
      </c>
      <c r="C679" s="3" t="s">
        <v>632</v>
      </c>
      <c r="D679" s="3" t="s">
        <v>17</v>
      </c>
      <c r="E679" s="3" t="s">
        <v>360</v>
      </c>
      <c r="F679" s="3" t="s">
        <v>19</v>
      </c>
      <c r="G679" s="4">
        <v>0</v>
      </c>
      <c r="H679" s="4">
        <v>24870352</v>
      </c>
      <c r="I679" s="3" t="s">
        <v>163</v>
      </c>
      <c r="J679" s="4">
        <v>24</v>
      </c>
      <c r="K679" s="3" t="s">
        <v>21</v>
      </c>
      <c r="L679" s="4">
        <v>698352</v>
      </c>
      <c r="M679" s="1">
        <f>O679*J679*K679</f>
        <v>0</v>
      </c>
      <c r="N679" s="3"/>
      <c r="O679" s="2">
        <f>L679/J679*(1-K679)</f>
        <v>29098</v>
      </c>
    </row>
    <row r="680" ht="14.25">
      <c r="A680" s="3" t="s">
        <v>413</v>
      </c>
      <c r="B680" s="3" t="s">
        <v>626</v>
      </c>
      <c r="C680" s="3" t="s">
        <v>632</v>
      </c>
      <c r="D680" s="3" t="s">
        <v>17</v>
      </c>
      <c r="E680" s="3" t="s">
        <v>360</v>
      </c>
      <c r="F680" s="3" t="s">
        <v>19</v>
      </c>
      <c r="G680" s="4">
        <v>0</v>
      </c>
      <c r="H680" s="4">
        <v>24870352</v>
      </c>
      <c r="I680" s="3" t="s">
        <v>108</v>
      </c>
      <c r="J680" s="4">
        <v>312</v>
      </c>
      <c r="K680" s="3" t="s">
        <v>21</v>
      </c>
      <c r="L680" s="4">
        <v>7176000</v>
      </c>
      <c r="M680" s="1">
        <f>O680*J680*K680</f>
        <v>0</v>
      </c>
      <c r="N680" s="3"/>
      <c r="O680" s="2">
        <f>L680/J680*(1-K680)</f>
        <v>23000</v>
      </c>
    </row>
    <row r="681" ht="14.25">
      <c r="A681" s="3" t="s">
        <v>413</v>
      </c>
      <c r="B681" s="3" t="s">
        <v>626</v>
      </c>
      <c r="C681" s="3" t="s">
        <v>632</v>
      </c>
      <c r="D681" s="3" t="s">
        <v>17</v>
      </c>
      <c r="E681" s="3" t="s">
        <v>360</v>
      </c>
      <c r="F681" s="3" t="s">
        <v>19</v>
      </c>
      <c r="G681" s="4">
        <v>0</v>
      </c>
      <c r="H681" s="4">
        <v>24870352</v>
      </c>
      <c r="I681" s="3" t="s">
        <v>164</v>
      </c>
      <c r="J681" s="4">
        <v>24</v>
      </c>
      <c r="K681" s="3" t="s">
        <v>21</v>
      </c>
      <c r="L681" s="4">
        <v>528000</v>
      </c>
      <c r="M681" s="1">
        <f>O681*J681*K681</f>
        <v>0</v>
      </c>
      <c r="N681" s="3"/>
      <c r="O681" s="2">
        <f>L681/J681*(1-K681)</f>
        <v>22000</v>
      </c>
    </row>
    <row r="682" ht="14.25">
      <c r="A682" s="3" t="s">
        <v>413</v>
      </c>
      <c r="B682" s="3" t="s">
        <v>626</v>
      </c>
      <c r="C682" s="3" t="s">
        <v>632</v>
      </c>
      <c r="D682" s="3" t="s">
        <v>17</v>
      </c>
      <c r="E682" s="3" t="s">
        <v>360</v>
      </c>
      <c r="F682" s="3" t="s">
        <v>19</v>
      </c>
      <c r="G682" s="4">
        <v>0</v>
      </c>
      <c r="H682" s="4">
        <v>24870352</v>
      </c>
      <c r="I682" s="3" t="s">
        <v>166</v>
      </c>
      <c r="J682" s="4">
        <v>24</v>
      </c>
      <c r="K682" s="3" t="s">
        <v>21</v>
      </c>
      <c r="L682" s="4">
        <v>288000</v>
      </c>
      <c r="M682" s="1">
        <f>O682*J682*K682</f>
        <v>0</v>
      </c>
      <c r="N682" s="3"/>
      <c r="O682" s="2">
        <f>L682/J682*(1-K682)</f>
        <v>12000</v>
      </c>
    </row>
    <row r="683" ht="14.25">
      <c r="A683" s="3" t="s">
        <v>413</v>
      </c>
      <c r="B683" s="3" t="s">
        <v>626</v>
      </c>
      <c r="C683" s="3" t="s">
        <v>632</v>
      </c>
      <c r="D683" s="3" t="s">
        <v>17</v>
      </c>
      <c r="E683" s="3" t="s">
        <v>360</v>
      </c>
      <c r="F683" s="3" t="s">
        <v>19</v>
      </c>
      <c r="G683" s="4">
        <v>0</v>
      </c>
      <c r="H683" s="4">
        <v>24870352</v>
      </c>
      <c r="I683" s="3" t="s">
        <v>469</v>
      </c>
      <c r="J683" s="4">
        <v>24</v>
      </c>
      <c r="K683" s="3" t="s">
        <v>21</v>
      </c>
      <c r="L683" s="4">
        <v>330000</v>
      </c>
      <c r="M683" s="1">
        <f>O683*J683*K683</f>
        <v>0</v>
      </c>
      <c r="N683" s="3"/>
      <c r="O683" s="2">
        <f>L683/J683*(1-K683)</f>
        <v>13750</v>
      </c>
    </row>
    <row r="684" ht="14.25">
      <c r="A684" s="3" t="s">
        <v>413</v>
      </c>
      <c r="B684" s="3" t="s">
        <v>626</v>
      </c>
      <c r="C684" s="3" t="s">
        <v>632</v>
      </c>
      <c r="D684" s="3" t="s">
        <v>17</v>
      </c>
      <c r="E684" s="3" t="s">
        <v>360</v>
      </c>
      <c r="F684" s="3" t="s">
        <v>19</v>
      </c>
      <c r="G684" s="4">
        <v>0</v>
      </c>
      <c r="H684" s="4">
        <v>24870352</v>
      </c>
      <c r="I684" s="3" t="s">
        <v>162</v>
      </c>
      <c r="J684" s="4">
        <v>48</v>
      </c>
      <c r="K684" s="3" t="s">
        <v>21</v>
      </c>
      <c r="L684" s="4">
        <v>384000</v>
      </c>
      <c r="M684" s="1">
        <f>O684*J684*K684</f>
        <v>0</v>
      </c>
      <c r="N684" s="3"/>
      <c r="O684" s="2">
        <f>L684/J684*(1-K684)</f>
        <v>8000</v>
      </c>
    </row>
    <row r="685" ht="14.25">
      <c r="A685" s="3" t="s">
        <v>413</v>
      </c>
      <c r="B685" s="3" t="s">
        <v>626</v>
      </c>
      <c r="C685" s="3" t="s">
        <v>632</v>
      </c>
      <c r="D685" s="3" t="s">
        <v>17</v>
      </c>
      <c r="E685" s="3" t="s">
        <v>360</v>
      </c>
      <c r="F685" s="3" t="s">
        <v>19</v>
      </c>
      <c r="G685" s="4">
        <v>0</v>
      </c>
      <c r="H685" s="4">
        <v>24870352</v>
      </c>
      <c r="I685" s="3" t="s">
        <v>117</v>
      </c>
      <c r="J685" s="4">
        <v>96</v>
      </c>
      <c r="K685" s="3" t="s">
        <v>21</v>
      </c>
      <c r="L685" s="4">
        <v>1248000</v>
      </c>
      <c r="M685" s="1">
        <f>O685*J685*K685</f>
        <v>0</v>
      </c>
      <c r="N685" s="3"/>
      <c r="O685" s="2">
        <f>L685/J685*(1-K685)</f>
        <v>13000</v>
      </c>
    </row>
    <row r="686" ht="14.25">
      <c r="A686" s="3" t="s">
        <v>413</v>
      </c>
      <c r="B686" s="3" t="s">
        <v>626</v>
      </c>
      <c r="C686" s="3" t="s">
        <v>632</v>
      </c>
      <c r="D686" s="3" t="s">
        <v>17</v>
      </c>
      <c r="E686" s="3" t="s">
        <v>360</v>
      </c>
      <c r="F686" s="3" t="s">
        <v>19</v>
      </c>
      <c r="G686" s="4">
        <v>0</v>
      </c>
      <c r="H686" s="4">
        <v>24870352</v>
      </c>
      <c r="I686" s="3" t="s">
        <v>161</v>
      </c>
      <c r="J686" s="4">
        <v>192</v>
      </c>
      <c r="K686" s="3" t="s">
        <v>21</v>
      </c>
      <c r="L686" s="4">
        <v>1152000</v>
      </c>
      <c r="M686" s="1">
        <f>O686*J686*K686</f>
        <v>0</v>
      </c>
      <c r="N686" s="3"/>
      <c r="O686" s="2">
        <f>L686/J686*(1-K686)</f>
        <v>6000</v>
      </c>
    </row>
    <row r="687" ht="14.25">
      <c r="A687" s="3" t="s">
        <v>413</v>
      </c>
      <c r="B687" s="3" t="s">
        <v>626</v>
      </c>
      <c r="C687" s="3" t="s">
        <v>632</v>
      </c>
      <c r="D687" s="3" t="s">
        <v>17</v>
      </c>
      <c r="E687" s="3" t="s">
        <v>360</v>
      </c>
      <c r="F687" s="3" t="s">
        <v>19</v>
      </c>
      <c r="G687" s="4">
        <v>0</v>
      </c>
      <c r="H687" s="4">
        <v>24870352</v>
      </c>
      <c r="I687" s="3" t="s">
        <v>201</v>
      </c>
      <c r="J687" s="4">
        <v>4</v>
      </c>
      <c r="K687" s="3" t="s">
        <v>21</v>
      </c>
      <c r="L687" s="4">
        <v>130000</v>
      </c>
      <c r="M687" s="1">
        <f>O687*J687*K687</f>
        <v>0</v>
      </c>
      <c r="N687" s="3"/>
      <c r="O687" s="2">
        <f>L687/J687*(1-K687)</f>
        <v>32500</v>
      </c>
    </row>
    <row r="688" ht="14.25">
      <c r="A688" s="3" t="s">
        <v>413</v>
      </c>
      <c r="B688" s="3" t="s">
        <v>626</v>
      </c>
      <c r="C688" s="3" t="s">
        <v>632</v>
      </c>
      <c r="D688" s="3" t="s">
        <v>17</v>
      </c>
      <c r="E688" s="3" t="s">
        <v>360</v>
      </c>
      <c r="F688" s="3" t="s">
        <v>19</v>
      </c>
      <c r="G688" s="4">
        <v>0</v>
      </c>
      <c r="H688" s="4">
        <v>24870352</v>
      </c>
      <c r="I688" s="3" t="s">
        <v>361</v>
      </c>
      <c r="J688" s="4">
        <v>12</v>
      </c>
      <c r="K688" s="3" t="s">
        <v>21</v>
      </c>
      <c r="L688" s="4">
        <v>552000</v>
      </c>
      <c r="M688" s="1">
        <f>O688*J688*K688</f>
        <v>0</v>
      </c>
      <c r="N688" s="3"/>
      <c r="O688" s="2">
        <f>L688/J688*(1-K688)</f>
        <v>46000</v>
      </c>
    </row>
    <row r="689" ht="14.25">
      <c r="A689" s="3" t="s">
        <v>413</v>
      </c>
      <c r="B689" s="3" t="s">
        <v>626</v>
      </c>
      <c r="C689" s="3" t="s">
        <v>632</v>
      </c>
      <c r="D689" s="3" t="s">
        <v>17</v>
      </c>
      <c r="E689" s="3" t="s">
        <v>360</v>
      </c>
      <c r="F689" s="3" t="s">
        <v>19</v>
      </c>
      <c r="G689" s="4">
        <v>0</v>
      </c>
      <c r="H689" s="4">
        <v>24870352</v>
      </c>
      <c r="I689" s="3" t="s">
        <v>633</v>
      </c>
      <c r="J689" s="4">
        <v>72</v>
      </c>
      <c r="K689" s="3" t="s">
        <v>21</v>
      </c>
      <c r="L689" s="4">
        <v>1584000</v>
      </c>
      <c r="M689" s="1">
        <f>O689*J689*K689</f>
        <v>0</v>
      </c>
      <c r="N689" s="3"/>
      <c r="O689" s="2">
        <f>L689/J689*(1-K689)</f>
        <v>22000</v>
      </c>
    </row>
    <row r="690" ht="14.25">
      <c r="A690" s="3" t="s">
        <v>413</v>
      </c>
      <c r="B690" s="3" t="s">
        <v>626</v>
      </c>
      <c r="C690" s="3" t="s">
        <v>634</v>
      </c>
      <c r="D690" s="3" t="s">
        <v>17</v>
      </c>
      <c r="E690" s="3" t="s">
        <v>489</v>
      </c>
      <c r="F690" s="3" t="s">
        <v>19</v>
      </c>
      <c r="G690" s="4">
        <v>0</v>
      </c>
      <c r="H690" s="4">
        <v>1644000</v>
      </c>
      <c r="I690" s="3" t="s">
        <v>490</v>
      </c>
      <c r="J690" s="4">
        <v>24</v>
      </c>
      <c r="K690" s="3" t="s">
        <v>21</v>
      </c>
      <c r="L690" s="4">
        <v>840000</v>
      </c>
      <c r="M690" s="1">
        <f>O690*J690*K690</f>
        <v>0</v>
      </c>
      <c r="N690" s="3"/>
      <c r="O690" s="2">
        <f>L690/J690*(1-K690)</f>
        <v>35000</v>
      </c>
    </row>
    <row r="691" ht="14.25">
      <c r="A691" s="3" t="s">
        <v>413</v>
      </c>
      <c r="B691" s="3" t="s">
        <v>626</v>
      </c>
      <c r="C691" s="3" t="s">
        <v>634</v>
      </c>
      <c r="D691" s="3" t="s">
        <v>17</v>
      </c>
      <c r="E691" s="3" t="s">
        <v>489</v>
      </c>
      <c r="F691" s="3" t="s">
        <v>19</v>
      </c>
      <c r="G691" s="4">
        <v>0</v>
      </c>
      <c r="H691" s="4">
        <v>1644000</v>
      </c>
      <c r="I691" s="3" t="s">
        <v>299</v>
      </c>
      <c r="J691" s="4">
        <v>24</v>
      </c>
      <c r="K691" s="3" t="s">
        <v>21</v>
      </c>
      <c r="L691" s="4">
        <v>804000</v>
      </c>
      <c r="M691" s="1">
        <f>O691*J691*K691</f>
        <v>0</v>
      </c>
      <c r="N691" s="3"/>
      <c r="O691" s="2">
        <f>L691/J691*(1-K691)</f>
        <v>33500</v>
      </c>
    </row>
    <row r="692" ht="14.25">
      <c r="A692" s="3" t="s">
        <v>413</v>
      </c>
      <c r="B692" s="3" t="s">
        <v>626</v>
      </c>
      <c r="C692" s="3" t="s">
        <v>635</v>
      </c>
      <c r="D692" s="3" t="s">
        <v>17</v>
      </c>
      <c r="E692" s="3" t="s">
        <v>369</v>
      </c>
      <c r="F692" s="3" t="s">
        <v>19</v>
      </c>
      <c r="G692" s="4">
        <v>0</v>
      </c>
      <c r="H692" s="4">
        <v>1475000</v>
      </c>
      <c r="I692" s="3" t="s">
        <v>136</v>
      </c>
      <c r="J692" s="4">
        <v>1</v>
      </c>
      <c r="K692" s="3" t="s">
        <v>21</v>
      </c>
      <c r="L692" s="4">
        <v>1350000</v>
      </c>
      <c r="M692" s="1">
        <f>O692*J692*K692</f>
        <v>0</v>
      </c>
      <c r="N692" s="3"/>
      <c r="O692" s="2">
        <f>L692/J692*(1-K692)</f>
        <v>1350000</v>
      </c>
    </row>
    <row r="693" ht="14.25">
      <c r="A693" s="3" t="s">
        <v>413</v>
      </c>
      <c r="B693" s="3" t="s">
        <v>626</v>
      </c>
      <c r="C693" s="3" t="s">
        <v>635</v>
      </c>
      <c r="D693" s="3" t="s">
        <v>17</v>
      </c>
      <c r="E693" s="3" t="s">
        <v>369</v>
      </c>
      <c r="F693" s="3" t="s">
        <v>19</v>
      </c>
      <c r="G693" s="4">
        <v>0</v>
      </c>
      <c r="H693" s="4">
        <v>1475000</v>
      </c>
      <c r="I693" s="3" t="s">
        <v>636</v>
      </c>
      <c r="J693" s="4">
        <v>1</v>
      </c>
      <c r="K693" s="3" t="s">
        <v>21</v>
      </c>
      <c r="L693" s="4">
        <v>125000</v>
      </c>
      <c r="M693" s="1">
        <f>O693*J693*K693</f>
        <v>0</v>
      </c>
      <c r="N693" s="3"/>
      <c r="O693" s="2">
        <f>L693/J693*(1-K693)</f>
        <v>125000</v>
      </c>
    </row>
    <row r="694" ht="14.25">
      <c r="A694" s="3" t="s">
        <v>413</v>
      </c>
      <c r="B694" s="3" t="s">
        <v>626</v>
      </c>
      <c r="C694" s="3" t="s">
        <v>637</v>
      </c>
      <c r="D694" s="3" t="s">
        <v>17</v>
      </c>
      <c r="E694" s="3" t="s">
        <v>146</v>
      </c>
      <c r="F694" s="3" t="s">
        <v>19</v>
      </c>
      <c r="G694" s="4">
        <v>0</v>
      </c>
      <c r="H694" s="4">
        <v>4200000</v>
      </c>
      <c r="I694" s="3" t="s">
        <v>101</v>
      </c>
      <c r="J694" s="4">
        <v>2</v>
      </c>
      <c r="K694" s="3" t="s">
        <v>21</v>
      </c>
      <c r="L694" s="4">
        <v>4200000</v>
      </c>
      <c r="M694" s="1">
        <f>O694*J694*K694</f>
        <v>0</v>
      </c>
      <c r="N694" s="3"/>
      <c r="O694" s="2">
        <f>L694/J694*(1-K694)</f>
        <v>2100000</v>
      </c>
    </row>
    <row r="695" ht="14.25">
      <c r="A695" s="3" t="s">
        <v>532</v>
      </c>
      <c r="B695" s="3" t="s">
        <v>532</v>
      </c>
      <c r="C695" s="3" t="s">
        <v>638</v>
      </c>
      <c r="D695" s="3" t="s">
        <v>17</v>
      </c>
      <c r="E695" s="3" t="s">
        <v>639</v>
      </c>
      <c r="F695" s="3" t="s">
        <v>19</v>
      </c>
      <c r="G695" s="4">
        <v>0</v>
      </c>
      <c r="H695" s="4">
        <v>0</v>
      </c>
      <c r="I695" s="3" t="s">
        <v>67</v>
      </c>
      <c r="J695" s="4">
        <v>1</v>
      </c>
      <c r="K695" s="3" t="s">
        <v>21</v>
      </c>
      <c r="L695" s="4">
        <v>0</v>
      </c>
      <c r="M695" s="1">
        <f>O695*J695*K695</f>
        <v>0</v>
      </c>
      <c r="N695" s="3"/>
      <c r="O695" s="2">
        <f>L695/J695*(1-K695)</f>
        <v>0</v>
      </c>
    </row>
    <row r="696" ht="14.25">
      <c r="A696" s="3" t="s">
        <v>532</v>
      </c>
      <c r="B696" s="3" t="s">
        <v>269</v>
      </c>
      <c r="C696" s="3" t="s">
        <v>640</v>
      </c>
      <c r="D696" s="3" t="s">
        <v>17</v>
      </c>
      <c r="E696" s="3" t="s">
        <v>88</v>
      </c>
      <c r="F696" s="3" t="s">
        <v>19</v>
      </c>
      <c r="G696" s="4">
        <v>0</v>
      </c>
      <c r="H696" s="4">
        <v>7190000</v>
      </c>
      <c r="I696" s="3" t="s">
        <v>82</v>
      </c>
      <c r="J696" s="4">
        <v>1</v>
      </c>
      <c r="K696" s="3" t="s">
        <v>21</v>
      </c>
      <c r="L696" s="4">
        <v>3800000</v>
      </c>
      <c r="M696" s="1">
        <f>O696*J696*K696</f>
        <v>0</v>
      </c>
      <c r="N696" s="3"/>
      <c r="O696" s="2">
        <f>L696/J696*(1-K696)</f>
        <v>3800000</v>
      </c>
    </row>
    <row r="697" ht="14.25">
      <c r="A697" s="3" t="s">
        <v>532</v>
      </c>
      <c r="B697" s="3" t="s">
        <v>269</v>
      </c>
      <c r="C697" s="3" t="s">
        <v>640</v>
      </c>
      <c r="D697" s="3" t="s">
        <v>17</v>
      </c>
      <c r="E697" s="3" t="s">
        <v>88</v>
      </c>
      <c r="F697" s="3" t="s">
        <v>19</v>
      </c>
      <c r="G697" s="4">
        <v>0</v>
      </c>
      <c r="H697" s="4">
        <v>7190000</v>
      </c>
      <c r="I697" s="3" t="s">
        <v>322</v>
      </c>
      <c r="J697" s="4">
        <v>1</v>
      </c>
      <c r="K697" s="3" t="s">
        <v>21</v>
      </c>
      <c r="L697" s="4">
        <v>630000</v>
      </c>
      <c r="M697" s="1">
        <f>O697*J697*K697</f>
        <v>0</v>
      </c>
      <c r="N697" s="3"/>
      <c r="O697" s="2">
        <f>L697/J697*(1-K697)</f>
        <v>630000</v>
      </c>
    </row>
    <row r="698" ht="14.25">
      <c r="A698" s="3" t="s">
        <v>532</v>
      </c>
      <c r="B698" s="3" t="s">
        <v>269</v>
      </c>
      <c r="C698" s="3" t="s">
        <v>640</v>
      </c>
      <c r="D698" s="3" t="s">
        <v>17</v>
      </c>
      <c r="E698" s="3" t="s">
        <v>88</v>
      </c>
      <c r="F698" s="3" t="s">
        <v>19</v>
      </c>
      <c r="G698" s="4">
        <v>0</v>
      </c>
      <c r="H698" s="4">
        <v>7190000</v>
      </c>
      <c r="I698" s="3" t="s">
        <v>283</v>
      </c>
      <c r="J698" s="4">
        <v>2</v>
      </c>
      <c r="K698" s="3" t="s">
        <v>21</v>
      </c>
      <c r="L698" s="4">
        <v>2760000</v>
      </c>
      <c r="M698" s="1">
        <f>O698*J698*K698</f>
        <v>0</v>
      </c>
      <c r="N698" s="3"/>
      <c r="O698" s="2">
        <f>L698/J698*(1-K698)</f>
        <v>1380000</v>
      </c>
    </row>
    <row r="699" ht="14.25">
      <c r="A699" s="3" t="s">
        <v>532</v>
      </c>
      <c r="B699" s="3" t="s">
        <v>269</v>
      </c>
      <c r="C699" s="3" t="s">
        <v>641</v>
      </c>
      <c r="D699" s="3" t="s">
        <v>17</v>
      </c>
      <c r="E699" s="3" t="s">
        <v>642</v>
      </c>
      <c r="F699" s="3" t="s">
        <v>19</v>
      </c>
      <c r="G699" s="4">
        <v>0</v>
      </c>
      <c r="H699" s="4">
        <v>9150000</v>
      </c>
      <c r="I699" s="3" t="s">
        <v>172</v>
      </c>
      <c r="J699" s="4">
        <v>5</v>
      </c>
      <c r="K699" s="3" t="s">
        <v>21</v>
      </c>
      <c r="L699" s="4">
        <v>3150000</v>
      </c>
      <c r="M699" s="1">
        <f>O699*J699*K699</f>
        <v>0</v>
      </c>
      <c r="N699" s="3"/>
      <c r="O699" s="2">
        <f>L699/J699*(1-K699)</f>
        <v>630000</v>
      </c>
    </row>
    <row r="700" ht="14.25">
      <c r="A700" s="3" t="s">
        <v>532</v>
      </c>
      <c r="B700" s="3" t="s">
        <v>269</v>
      </c>
      <c r="C700" s="3" t="s">
        <v>641</v>
      </c>
      <c r="D700" s="3" t="s">
        <v>17</v>
      </c>
      <c r="E700" s="3" t="s">
        <v>642</v>
      </c>
      <c r="F700" s="3" t="s">
        <v>19</v>
      </c>
      <c r="G700" s="4">
        <v>0</v>
      </c>
      <c r="H700" s="4">
        <v>9150000</v>
      </c>
      <c r="I700" s="3" t="s">
        <v>593</v>
      </c>
      <c r="J700" s="4">
        <v>10</v>
      </c>
      <c r="K700" s="3" t="s">
        <v>21</v>
      </c>
      <c r="L700" s="4">
        <v>6000000</v>
      </c>
      <c r="M700" s="1">
        <f>O700*J700*K700</f>
        <v>0</v>
      </c>
      <c r="N700" s="3"/>
      <c r="O700" s="2">
        <f>L700/J700*(1-K700)</f>
        <v>600000</v>
      </c>
    </row>
    <row r="701" ht="14.25">
      <c r="A701" s="3" t="s">
        <v>532</v>
      </c>
      <c r="B701" s="3" t="s">
        <v>269</v>
      </c>
      <c r="C701" s="3" t="s">
        <v>643</v>
      </c>
      <c r="D701" s="3" t="s">
        <v>17</v>
      </c>
      <c r="E701" s="3" t="s">
        <v>134</v>
      </c>
      <c r="F701" s="3" t="s">
        <v>19</v>
      </c>
      <c r="G701" s="4">
        <v>0</v>
      </c>
      <c r="H701" s="4">
        <v>11483384</v>
      </c>
      <c r="I701" s="3" t="s">
        <v>188</v>
      </c>
      <c r="J701" s="4">
        <v>4</v>
      </c>
      <c r="K701" s="3" t="s">
        <v>21</v>
      </c>
      <c r="L701" s="4">
        <v>997040</v>
      </c>
      <c r="M701" s="1">
        <f>O701*J701*K701</f>
        <v>0</v>
      </c>
      <c r="N701" s="3"/>
      <c r="O701" s="2">
        <f>L701/J701*(1-K701)</f>
        <v>249260</v>
      </c>
    </row>
    <row r="702" ht="14.25">
      <c r="A702" s="3" t="s">
        <v>532</v>
      </c>
      <c r="B702" s="3" t="s">
        <v>269</v>
      </c>
      <c r="C702" s="3" t="s">
        <v>643</v>
      </c>
      <c r="D702" s="3" t="s">
        <v>17</v>
      </c>
      <c r="E702" s="3" t="s">
        <v>134</v>
      </c>
      <c r="F702" s="3" t="s">
        <v>19</v>
      </c>
      <c r="G702" s="4">
        <v>0</v>
      </c>
      <c r="H702" s="4">
        <v>11483384</v>
      </c>
      <c r="I702" s="3" t="s">
        <v>69</v>
      </c>
      <c r="J702" s="4">
        <v>8</v>
      </c>
      <c r="K702" s="3" t="s">
        <v>21</v>
      </c>
      <c r="L702" s="4">
        <v>2999448</v>
      </c>
      <c r="M702" s="1">
        <f>O702*J702*K702</f>
        <v>0</v>
      </c>
      <c r="N702" s="3"/>
      <c r="O702" s="2">
        <f>L702/J702*(1-K702)</f>
        <v>374931</v>
      </c>
    </row>
    <row r="703" ht="14.25">
      <c r="A703" s="3" t="s">
        <v>532</v>
      </c>
      <c r="B703" s="3" t="s">
        <v>269</v>
      </c>
      <c r="C703" s="3" t="s">
        <v>643</v>
      </c>
      <c r="D703" s="3" t="s">
        <v>17</v>
      </c>
      <c r="E703" s="3" t="s">
        <v>134</v>
      </c>
      <c r="F703" s="3" t="s">
        <v>19</v>
      </c>
      <c r="G703" s="4">
        <v>0</v>
      </c>
      <c r="H703" s="4">
        <v>11483384</v>
      </c>
      <c r="I703" s="3" t="s">
        <v>66</v>
      </c>
      <c r="J703" s="4">
        <v>6</v>
      </c>
      <c r="K703" s="3" t="s">
        <v>21</v>
      </c>
      <c r="L703" s="4">
        <v>2486448</v>
      </c>
      <c r="M703" s="1">
        <f>O703*J703*K703</f>
        <v>0</v>
      </c>
      <c r="N703" s="3"/>
      <c r="O703" s="2">
        <f>L703/J703*(1-K703)</f>
        <v>414408</v>
      </c>
    </row>
    <row r="704" ht="14.25">
      <c r="A704" s="3" t="s">
        <v>532</v>
      </c>
      <c r="B704" s="3" t="s">
        <v>269</v>
      </c>
      <c r="C704" s="3" t="s">
        <v>643</v>
      </c>
      <c r="D704" s="3" t="s">
        <v>17</v>
      </c>
      <c r="E704" s="3" t="s">
        <v>134</v>
      </c>
      <c r="F704" s="3" t="s">
        <v>19</v>
      </c>
      <c r="G704" s="4">
        <v>0</v>
      </c>
      <c r="H704" s="4">
        <v>11483384</v>
      </c>
      <c r="I704" s="3" t="s">
        <v>54</v>
      </c>
      <c r="J704" s="4">
        <v>4</v>
      </c>
      <c r="K704" s="3" t="s">
        <v>21</v>
      </c>
      <c r="L704" s="4">
        <v>1615968</v>
      </c>
      <c r="M704" s="1">
        <f>O704*J704*K704</f>
        <v>0</v>
      </c>
      <c r="N704" s="3"/>
      <c r="O704" s="2">
        <f>L704/J704*(1-K704)</f>
        <v>403992</v>
      </c>
    </row>
    <row r="705" ht="14.25">
      <c r="A705" s="3" t="s">
        <v>532</v>
      </c>
      <c r="B705" s="3" t="s">
        <v>269</v>
      </c>
      <c r="C705" s="3" t="s">
        <v>643</v>
      </c>
      <c r="D705" s="3" t="s">
        <v>17</v>
      </c>
      <c r="E705" s="3" t="s">
        <v>134</v>
      </c>
      <c r="F705" s="3" t="s">
        <v>19</v>
      </c>
      <c r="G705" s="4">
        <v>0</v>
      </c>
      <c r="H705" s="4">
        <v>11483384</v>
      </c>
      <c r="I705" s="3" t="s">
        <v>187</v>
      </c>
      <c r="J705" s="4">
        <v>20</v>
      </c>
      <c r="K705" s="3" t="s">
        <v>21</v>
      </c>
      <c r="L705" s="4">
        <v>918840</v>
      </c>
      <c r="M705" s="1">
        <f>O705*J705*K705</f>
        <v>0</v>
      </c>
      <c r="N705" s="3"/>
      <c r="O705" s="2">
        <f>L705/J705*(1-K705)</f>
        <v>45942</v>
      </c>
    </row>
    <row r="706" ht="14.25">
      <c r="A706" s="3" t="s">
        <v>532</v>
      </c>
      <c r="B706" s="3" t="s">
        <v>269</v>
      </c>
      <c r="C706" s="3" t="s">
        <v>643</v>
      </c>
      <c r="D706" s="3" t="s">
        <v>17</v>
      </c>
      <c r="E706" s="3" t="s">
        <v>134</v>
      </c>
      <c r="F706" s="3" t="s">
        <v>19</v>
      </c>
      <c r="G706" s="4">
        <v>0</v>
      </c>
      <c r="H706" s="4">
        <v>11483384</v>
      </c>
      <c r="I706" s="3" t="s">
        <v>197</v>
      </c>
      <c r="J706" s="4">
        <v>20</v>
      </c>
      <c r="K706" s="3" t="s">
        <v>21</v>
      </c>
      <c r="L706" s="4">
        <v>881640</v>
      </c>
      <c r="M706" s="1">
        <f>O706*J706*K706</f>
        <v>0</v>
      </c>
      <c r="N706" s="3"/>
      <c r="O706" s="2">
        <f>L706/J706*(1-K706)</f>
        <v>44082</v>
      </c>
    </row>
    <row r="707" ht="14.25">
      <c r="A707" s="3" t="s">
        <v>532</v>
      </c>
      <c r="B707" s="3" t="s">
        <v>269</v>
      </c>
      <c r="C707" s="3" t="s">
        <v>643</v>
      </c>
      <c r="D707" s="3" t="s">
        <v>17</v>
      </c>
      <c r="E707" s="3" t="s">
        <v>134</v>
      </c>
      <c r="F707" s="3" t="s">
        <v>19</v>
      </c>
      <c r="G707" s="4">
        <v>0</v>
      </c>
      <c r="H707" s="4">
        <v>11483384</v>
      </c>
      <c r="I707" s="3" t="s">
        <v>144</v>
      </c>
      <c r="J707" s="4">
        <v>24</v>
      </c>
      <c r="K707" s="3" t="s">
        <v>21</v>
      </c>
      <c r="L707" s="4">
        <v>1584000</v>
      </c>
      <c r="M707" s="1">
        <f>O707*J707*K707</f>
        <v>0</v>
      </c>
      <c r="N707" s="3"/>
      <c r="O707" s="2">
        <f>L707/J707*(1-K707)</f>
        <v>66000</v>
      </c>
    </row>
    <row r="708" ht="14.25">
      <c r="A708" s="3" t="s">
        <v>532</v>
      </c>
      <c r="B708" s="3" t="s">
        <v>644</v>
      </c>
      <c r="C708" s="3" t="s">
        <v>645</v>
      </c>
      <c r="D708" s="3" t="s">
        <v>17</v>
      </c>
      <c r="E708" s="3" t="s">
        <v>389</v>
      </c>
      <c r="F708" s="3" t="s">
        <v>19</v>
      </c>
      <c r="G708" s="4">
        <v>0</v>
      </c>
      <c r="H708" s="4">
        <v>9067360</v>
      </c>
      <c r="I708" s="3" t="s">
        <v>187</v>
      </c>
      <c r="J708" s="4">
        <v>40</v>
      </c>
      <c r="K708" s="3" t="s">
        <v>21</v>
      </c>
      <c r="L708" s="4">
        <v>1896960</v>
      </c>
      <c r="M708" s="1">
        <f>O708*J708*K708</f>
        <v>0</v>
      </c>
      <c r="N708" s="3"/>
      <c r="O708" s="2">
        <f>L708/J708*(1-K708)</f>
        <v>47424</v>
      </c>
    </row>
    <row r="709" ht="14.25">
      <c r="A709" s="3" t="s">
        <v>532</v>
      </c>
      <c r="B709" s="3" t="s">
        <v>644</v>
      </c>
      <c r="C709" s="3" t="s">
        <v>645</v>
      </c>
      <c r="D709" s="3" t="s">
        <v>17</v>
      </c>
      <c r="E709" s="3" t="s">
        <v>389</v>
      </c>
      <c r="F709" s="3" t="s">
        <v>19</v>
      </c>
      <c r="G709" s="4">
        <v>0</v>
      </c>
      <c r="H709" s="4">
        <v>9067360</v>
      </c>
      <c r="I709" s="3" t="s">
        <v>68</v>
      </c>
      <c r="J709" s="4">
        <v>40</v>
      </c>
      <c r="K709" s="3" t="s">
        <v>21</v>
      </c>
      <c r="L709" s="4">
        <v>1670400</v>
      </c>
      <c r="M709" s="1">
        <f>O709*J709*K709</f>
        <v>0</v>
      </c>
      <c r="N709" s="3"/>
      <c r="O709" s="2">
        <f>L709/J709*(1-K709)</f>
        <v>41760</v>
      </c>
    </row>
    <row r="710" ht="14.25">
      <c r="A710" s="3" t="s">
        <v>532</v>
      </c>
      <c r="B710" s="3" t="s">
        <v>644</v>
      </c>
      <c r="C710" s="3" t="s">
        <v>645</v>
      </c>
      <c r="D710" s="3" t="s">
        <v>17</v>
      </c>
      <c r="E710" s="3" t="s">
        <v>389</v>
      </c>
      <c r="F710" s="3" t="s">
        <v>19</v>
      </c>
      <c r="G710" s="4">
        <v>0</v>
      </c>
      <c r="H710" s="4">
        <v>9067360</v>
      </c>
      <c r="I710" s="3" t="s">
        <v>90</v>
      </c>
      <c r="J710" s="4">
        <v>10</v>
      </c>
      <c r="K710" s="3" t="s">
        <v>21</v>
      </c>
      <c r="L710" s="4">
        <v>4500000</v>
      </c>
      <c r="M710" s="1">
        <f>O710*J710*K710</f>
        <v>0</v>
      </c>
      <c r="N710" s="3"/>
      <c r="O710" s="2">
        <f>L710/J710*(1-K710)</f>
        <v>450000</v>
      </c>
    </row>
    <row r="711" ht="14.25">
      <c r="A711" s="3" t="s">
        <v>532</v>
      </c>
      <c r="B711" s="3" t="s">
        <v>644</v>
      </c>
      <c r="C711" s="3" t="s">
        <v>645</v>
      </c>
      <c r="D711" s="3" t="s">
        <v>17</v>
      </c>
      <c r="E711" s="3" t="s">
        <v>389</v>
      </c>
      <c r="F711" s="3" t="s">
        <v>19</v>
      </c>
      <c r="G711" s="4">
        <v>0</v>
      </c>
      <c r="H711" s="4">
        <v>9067360</v>
      </c>
      <c r="I711" s="3" t="s">
        <v>646</v>
      </c>
      <c r="J711" s="4">
        <v>50</v>
      </c>
      <c r="K711" s="3" t="s">
        <v>21</v>
      </c>
      <c r="L711" s="4">
        <v>1000000</v>
      </c>
      <c r="M711" s="1">
        <f>O711*J711*K711</f>
        <v>0</v>
      </c>
      <c r="N711" s="3"/>
      <c r="O711" s="2">
        <f>L711/J711*(1-K711)</f>
        <v>20000</v>
      </c>
    </row>
    <row r="712" ht="14.25">
      <c r="A712" s="3" t="s">
        <v>532</v>
      </c>
      <c r="B712" s="3" t="s">
        <v>644</v>
      </c>
      <c r="C712" s="3" t="s">
        <v>647</v>
      </c>
      <c r="D712" s="3" t="s">
        <v>17</v>
      </c>
      <c r="E712" s="3" t="s">
        <v>648</v>
      </c>
      <c r="F712" s="3" t="s">
        <v>19</v>
      </c>
      <c r="G712" s="4">
        <v>0</v>
      </c>
      <c r="H712" s="4">
        <v>4640000</v>
      </c>
      <c r="I712" s="3" t="s">
        <v>649</v>
      </c>
      <c r="J712" s="4">
        <v>12</v>
      </c>
      <c r="K712" s="3" t="s">
        <v>21</v>
      </c>
      <c r="L712" s="4">
        <v>2100000</v>
      </c>
      <c r="M712" s="1">
        <f>O712*J712*K712</f>
        <v>0</v>
      </c>
      <c r="N712" s="3"/>
      <c r="O712" s="2">
        <f>L712/J712*(1-K712)</f>
        <v>175000</v>
      </c>
    </row>
    <row r="713" ht="14.25">
      <c r="A713" s="3" t="s">
        <v>532</v>
      </c>
      <c r="B713" s="3" t="s">
        <v>644</v>
      </c>
      <c r="C713" s="3" t="s">
        <v>647</v>
      </c>
      <c r="D713" s="3" t="s">
        <v>17</v>
      </c>
      <c r="E713" s="3" t="s">
        <v>648</v>
      </c>
      <c r="F713" s="3" t="s">
        <v>19</v>
      </c>
      <c r="G713" s="4">
        <v>0</v>
      </c>
      <c r="H713" s="4">
        <v>4640000</v>
      </c>
      <c r="I713" s="3" t="s">
        <v>122</v>
      </c>
      <c r="J713" s="4">
        <v>4</v>
      </c>
      <c r="K713" s="3" t="s">
        <v>21</v>
      </c>
      <c r="L713" s="4">
        <v>720000</v>
      </c>
      <c r="M713" s="1">
        <f>O713*J713*K713</f>
        <v>0</v>
      </c>
      <c r="N713" s="3"/>
      <c r="O713" s="2">
        <f>L713/J713*(1-K713)</f>
        <v>180000</v>
      </c>
    </row>
    <row r="714" ht="14.25">
      <c r="A714" s="3" t="s">
        <v>532</v>
      </c>
      <c r="B714" s="3" t="s">
        <v>644</v>
      </c>
      <c r="C714" s="3" t="s">
        <v>647</v>
      </c>
      <c r="D714" s="3" t="s">
        <v>17</v>
      </c>
      <c r="E714" s="3" t="s">
        <v>648</v>
      </c>
      <c r="F714" s="3" t="s">
        <v>19</v>
      </c>
      <c r="G714" s="4">
        <v>0</v>
      </c>
      <c r="H714" s="4">
        <v>4640000</v>
      </c>
      <c r="I714" s="3" t="s">
        <v>650</v>
      </c>
      <c r="J714" s="4">
        <v>4</v>
      </c>
      <c r="K714" s="3" t="s">
        <v>21</v>
      </c>
      <c r="L714" s="4">
        <v>800000</v>
      </c>
      <c r="M714" s="1">
        <f>O714*J714*K714</f>
        <v>0</v>
      </c>
      <c r="N714" s="3"/>
      <c r="O714" s="2">
        <f>L714/J714*(1-K714)</f>
        <v>200000</v>
      </c>
    </row>
    <row r="715" ht="14.25">
      <c r="A715" s="3" t="s">
        <v>532</v>
      </c>
      <c r="B715" s="3" t="s">
        <v>644</v>
      </c>
      <c r="C715" s="3" t="s">
        <v>647</v>
      </c>
      <c r="D715" s="3" t="s">
        <v>17</v>
      </c>
      <c r="E715" s="3" t="s">
        <v>648</v>
      </c>
      <c r="F715" s="3" t="s">
        <v>19</v>
      </c>
      <c r="G715" s="4">
        <v>0</v>
      </c>
      <c r="H715" s="4">
        <v>4640000</v>
      </c>
      <c r="I715" s="3" t="s">
        <v>651</v>
      </c>
      <c r="J715" s="4">
        <v>6</v>
      </c>
      <c r="K715" s="3" t="s">
        <v>21</v>
      </c>
      <c r="L715" s="4">
        <v>1020000</v>
      </c>
      <c r="M715" s="1">
        <f>O715*J715*K715</f>
        <v>0</v>
      </c>
      <c r="N715" s="3"/>
      <c r="O715" s="2">
        <f>L715/J715*(1-K715)</f>
        <v>170000</v>
      </c>
    </row>
    <row r="716" ht="14.25">
      <c r="A716" s="3" t="s">
        <v>532</v>
      </c>
      <c r="B716" s="3" t="s">
        <v>269</v>
      </c>
      <c r="C716" s="3" t="s">
        <v>652</v>
      </c>
      <c r="D716" s="3" t="s">
        <v>17</v>
      </c>
      <c r="E716" s="3" t="s">
        <v>143</v>
      </c>
      <c r="F716" s="3" t="s">
        <v>19</v>
      </c>
      <c r="G716" s="4">
        <v>0</v>
      </c>
      <c r="H716" s="4">
        <v>400000</v>
      </c>
      <c r="I716" s="3" t="s">
        <v>600</v>
      </c>
      <c r="J716" s="4">
        <v>1</v>
      </c>
      <c r="K716" s="3" t="s">
        <v>21</v>
      </c>
      <c r="L716" s="4">
        <v>400000</v>
      </c>
      <c r="M716" s="1">
        <f>O716*J716*K716</f>
        <v>0</v>
      </c>
      <c r="N716" s="3"/>
      <c r="O716" s="2">
        <f>L716/J716*(1-K716)</f>
        <v>400000</v>
      </c>
    </row>
    <row r="717" ht="14.25">
      <c r="A717" s="3" t="s">
        <v>157</v>
      </c>
      <c r="B717" s="3" t="s">
        <v>653</v>
      </c>
      <c r="C717" s="3" t="s">
        <v>654</v>
      </c>
      <c r="D717" s="3" t="s">
        <v>17</v>
      </c>
      <c r="E717" s="3" t="s">
        <v>655</v>
      </c>
      <c r="F717" s="3" t="s">
        <v>19</v>
      </c>
      <c r="G717" s="4">
        <v>0</v>
      </c>
      <c r="H717" s="4">
        <v>2500000</v>
      </c>
      <c r="I717" s="3" t="s">
        <v>29</v>
      </c>
      <c r="J717" s="4">
        <v>5</v>
      </c>
      <c r="K717" s="3" t="s">
        <v>21</v>
      </c>
      <c r="L717" s="4">
        <v>2500000</v>
      </c>
      <c r="M717" s="1">
        <f>O717*J717*K717</f>
        <v>0</v>
      </c>
      <c r="N717" s="3"/>
      <c r="O717" s="2">
        <f>L717/J717*(1-K717)</f>
        <v>500000</v>
      </c>
    </row>
    <row r="718" ht="14.25">
      <c r="A718" s="3" t="s">
        <v>157</v>
      </c>
      <c r="B718" s="3" t="s">
        <v>656</v>
      </c>
      <c r="C718" s="3" t="s">
        <v>657</v>
      </c>
      <c r="D718" s="3" t="s">
        <v>17</v>
      </c>
      <c r="E718" s="3" t="s">
        <v>658</v>
      </c>
      <c r="F718" s="3" t="s">
        <v>19</v>
      </c>
      <c r="G718" s="4">
        <v>0</v>
      </c>
      <c r="H718" s="4">
        <v>10000000</v>
      </c>
      <c r="I718" s="3" t="s">
        <v>29</v>
      </c>
      <c r="J718" s="4">
        <v>20</v>
      </c>
      <c r="K718" s="3" t="s">
        <v>21</v>
      </c>
      <c r="L718" s="4">
        <v>10000000</v>
      </c>
      <c r="M718" s="1">
        <f>O718*J718*K718</f>
        <v>0</v>
      </c>
      <c r="N718" s="3"/>
      <c r="O718" s="2">
        <f>L718/J718*(1-K718)</f>
        <v>500000</v>
      </c>
    </row>
    <row r="719" ht="14.25">
      <c r="A719" s="3" t="s">
        <v>157</v>
      </c>
      <c r="B719" s="3" t="s">
        <v>653</v>
      </c>
      <c r="C719" s="3" t="s">
        <v>659</v>
      </c>
      <c r="D719" s="3" t="s">
        <v>17</v>
      </c>
      <c r="E719" s="3" t="s">
        <v>598</v>
      </c>
      <c r="F719" s="3" t="s">
        <v>19</v>
      </c>
      <c r="G719" s="4">
        <v>0</v>
      </c>
      <c r="H719" s="4">
        <v>5200000</v>
      </c>
      <c r="I719" s="3" t="s">
        <v>135</v>
      </c>
      <c r="J719" s="4">
        <v>4</v>
      </c>
      <c r="K719" s="3" t="s">
        <v>21</v>
      </c>
      <c r="L719" s="4">
        <v>5200000</v>
      </c>
      <c r="M719" s="1">
        <f>O719*J719*K719</f>
        <v>0</v>
      </c>
      <c r="N719" s="3"/>
      <c r="O719" s="2">
        <f>L719/J719*(1-K719)</f>
        <v>1300000</v>
      </c>
    </row>
    <row r="720" ht="14.25">
      <c r="A720" s="3" t="s">
        <v>157</v>
      </c>
      <c r="B720" s="3" t="s">
        <v>653</v>
      </c>
      <c r="C720" s="3" t="s">
        <v>660</v>
      </c>
      <c r="D720" s="3" t="s">
        <v>17</v>
      </c>
      <c r="E720" s="3" t="s">
        <v>34</v>
      </c>
      <c r="F720" s="3" t="s">
        <v>19</v>
      </c>
      <c r="G720" s="4">
        <v>0</v>
      </c>
      <c r="H720" s="4">
        <v>25092814</v>
      </c>
      <c r="I720" s="3" t="s">
        <v>39</v>
      </c>
      <c r="J720" s="4">
        <v>2</v>
      </c>
      <c r="K720" s="3" t="s">
        <v>21</v>
      </c>
      <c r="L720" s="4">
        <v>6400000</v>
      </c>
      <c r="M720" s="1">
        <f>O720*J720*K720</f>
        <v>0</v>
      </c>
      <c r="N720" s="3"/>
      <c r="O720" s="2">
        <f>L720/J720*(1-K720)</f>
        <v>3200000</v>
      </c>
    </row>
    <row r="721" ht="14.25">
      <c r="A721" s="3" t="s">
        <v>157</v>
      </c>
      <c r="B721" s="3" t="s">
        <v>653</v>
      </c>
      <c r="C721" s="3" t="s">
        <v>660</v>
      </c>
      <c r="D721" s="3" t="s">
        <v>17</v>
      </c>
      <c r="E721" s="3" t="s">
        <v>34</v>
      </c>
      <c r="F721" s="3" t="s">
        <v>19</v>
      </c>
      <c r="G721" s="4">
        <v>0</v>
      </c>
      <c r="H721" s="4">
        <v>25092814</v>
      </c>
      <c r="I721" s="3" t="s">
        <v>121</v>
      </c>
      <c r="J721" s="4">
        <v>3</v>
      </c>
      <c r="K721" s="3" t="s">
        <v>21</v>
      </c>
      <c r="L721" s="4">
        <v>9600000</v>
      </c>
      <c r="M721" s="1">
        <f>O721*J721*K721</f>
        <v>0</v>
      </c>
      <c r="N721" s="3"/>
      <c r="O721" s="2">
        <f>L721/J721*(1-K721)</f>
        <v>3200000</v>
      </c>
    </row>
    <row r="722" ht="14.25">
      <c r="A722" s="3" t="s">
        <v>157</v>
      </c>
      <c r="B722" s="3" t="s">
        <v>653</v>
      </c>
      <c r="C722" s="3" t="s">
        <v>660</v>
      </c>
      <c r="D722" s="3" t="s">
        <v>17</v>
      </c>
      <c r="E722" s="3" t="s">
        <v>34</v>
      </c>
      <c r="F722" s="3" t="s">
        <v>19</v>
      </c>
      <c r="G722" s="4">
        <v>0</v>
      </c>
      <c r="H722" s="4">
        <v>25092814</v>
      </c>
      <c r="I722" s="3" t="s">
        <v>377</v>
      </c>
      <c r="J722" s="4">
        <v>72</v>
      </c>
      <c r="K722" s="3" t="s">
        <v>21</v>
      </c>
      <c r="L722" s="4">
        <v>1584000</v>
      </c>
      <c r="M722" s="1">
        <f>O722*J722*K722</f>
        <v>0</v>
      </c>
      <c r="N722" s="3"/>
      <c r="O722" s="2">
        <f>L722/J722*(1-K722)</f>
        <v>22000</v>
      </c>
    </row>
    <row r="723" ht="14.25">
      <c r="A723" s="3" t="s">
        <v>157</v>
      </c>
      <c r="B723" s="3" t="s">
        <v>653</v>
      </c>
      <c r="C723" s="3" t="s">
        <v>660</v>
      </c>
      <c r="D723" s="3" t="s">
        <v>17</v>
      </c>
      <c r="E723" s="3" t="s">
        <v>34</v>
      </c>
      <c r="F723" s="3" t="s">
        <v>19</v>
      </c>
      <c r="G723" s="4">
        <v>0</v>
      </c>
      <c r="H723" s="4">
        <v>25092814</v>
      </c>
      <c r="I723" s="3" t="s">
        <v>57</v>
      </c>
      <c r="J723" s="4">
        <v>24</v>
      </c>
      <c r="K723" s="3" t="s">
        <v>21</v>
      </c>
      <c r="L723" s="4">
        <v>528000</v>
      </c>
      <c r="M723" s="1">
        <f>O723*J723*K723</f>
        <v>0</v>
      </c>
      <c r="N723" s="3"/>
      <c r="O723" s="2">
        <f>L723/J723*(1-K723)</f>
        <v>22000</v>
      </c>
    </row>
    <row r="724" ht="14.25">
      <c r="A724" s="3" t="s">
        <v>157</v>
      </c>
      <c r="B724" s="3" t="s">
        <v>653</v>
      </c>
      <c r="C724" s="3" t="s">
        <v>660</v>
      </c>
      <c r="D724" s="3" t="s">
        <v>17</v>
      </c>
      <c r="E724" s="3" t="s">
        <v>34</v>
      </c>
      <c r="F724" s="3" t="s">
        <v>19</v>
      </c>
      <c r="G724" s="4">
        <v>0</v>
      </c>
      <c r="H724" s="4">
        <v>25092814</v>
      </c>
      <c r="I724" s="3" t="s">
        <v>187</v>
      </c>
      <c r="J724" s="4">
        <v>20</v>
      </c>
      <c r="K724" s="3" t="s">
        <v>21</v>
      </c>
      <c r="L724" s="4">
        <v>908960</v>
      </c>
      <c r="M724" s="1">
        <f>O724*J724*K724</f>
        <v>0</v>
      </c>
      <c r="N724" s="3"/>
      <c r="O724" s="2">
        <f>L724/J724*(1-K724)</f>
        <v>45448</v>
      </c>
    </row>
    <row r="725" ht="14.25">
      <c r="A725" s="3" t="s">
        <v>157</v>
      </c>
      <c r="B725" s="3" t="s">
        <v>653</v>
      </c>
      <c r="C725" s="3" t="s">
        <v>660</v>
      </c>
      <c r="D725" s="3" t="s">
        <v>17</v>
      </c>
      <c r="E725" s="3" t="s">
        <v>34</v>
      </c>
      <c r="F725" s="3" t="s">
        <v>19</v>
      </c>
      <c r="G725" s="4">
        <v>0</v>
      </c>
      <c r="H725" s="4">
        <v>25092814</v>
      </c>
      <c r="I725" s="3" t="s">
        <v>82</v>
      </c>
      <c r="J725" s="4">
        <v>1</v>
      </c>
      <c r="K725" s="3" t="s">
        <v>21</v>
      </c>
      <c r="L725" s="4">
        <v>3550000</v>
      </c>
      <c r="M725" s="1">
        <f>O725*J725*K725</f>
        <v>0</v>
      </c>
      <c r="N725" s="3"/>
      <c r="O725" s="2">
        <f>L725/J725*(1-K725)</f>
        <v>3550000</v>
      </c>
    </row>
    <row r="726" ht="14.25">
      <c r="A726" s="3" t="s">
        <v>157</v>
      </c>
      <c r="B726" s="3" t="s">
        <v>653</v>
      </c>
      <c r="C726" s="3" t="s">
        <v>660</v>
      </c>
      <c r="D726" s="3" t="s">
        <v>17</v>
      </c>
      <c r="E726" s="3" t="s">
        <v>34</v>
      </c>
      <c r="F726" s="3" t="s">
        <v>19</v>
      </c>
      <c r="G726" s="4">
        <v>0</v>
      </c>
      <c r="H726" s="4">
        <v>25092814</v>
      </c>
      <c r="I726" s="3" t="s">
        <v>661</v>
      </c>
      <c r="J726" s="4">
        <v>1</v>
      </c>
      <c r="K726" s="3" t="s">
        <v>21</v>
      </c>
      <c r="L726" s="4">
        <v>375000</v>
      </c>
      <c r="M726" s="1">
        <f>O726*J726*K726</f>
        <v>0</v>
      </c>
      <c r="N726" s="3"/>
      <c r="O726" s="2">
        <f>L726/J726*(1-K726)</f>
        <v>375000</v>
      </c>
    </row>
    <row r="727" ht="14.25">
      <c r="A727" s="3" t="s">
        <v>157</v>
      </c>
      <c r="B727" s="3" t="s">
        <v>653</v>
      </c>
      <c r="C727" s="3" t="s">
        <v>660</v>
      </c>
      <c r="D727" s="3" t="s">
        <v>17</v>
      </c>
      <c r="E727" s="3" t="s">
        <v>34</v>
      </c>
      <c r="F727" s="3" t="s">
        <v>19</v>
      </c>
      <c r="G727" s="4">
        <v>0</v>
      </c>
      <c r="H727" s="4">
        <v>25092814</v>
      </c>
      <c r="I727" s="3" t="s">
        <v>125</v>
      </c>
      <c r="J727" s="4">
        <v>3</v>
      </c>
      <c r="K727" s="3" t="s">
        <v>21</v>
      </c>
      <c r="L727" s="4">
        <v>739662</v>
      </c>
      <c r="M727" s="1">
        <f>O727*J727*K727</f>
        <v>0</v>
      </c>
      <c r="N727" s="3"/>
      <c r="O727" s="2">
        <f>L727/J727*(1-K727)</f>
        <v>246554</v>
      </c>
    </row>
    <row r="728" ht="14.25">
      <c r="A728" s="3" t="s">
        <v>157</v>
      </c>
      <c r="B728" s="3" t="s">
        <v>653</v>
      </c>
      <c r="C728" s="3" t="s">
        <v>660</v>
      </c>
      <c r="D728" s="3" t="s">
        <v>17</v>
      </c>
      <c r="E728" s="3" t="s">
        <v>34</v>
      </c>
      <c r="F728" s="3" t="s">
        <v>19</v>
      </c>
      <c r="G728" s="4">
        <v>0</v>
      </c>
      <c r="H728" s="4">
        <v>25092814</v>
      </c>
      <c r="I728" s="3" t="s">
        <v>662</v>
      </c>
      <c r="J728" s="4">
        <v>12</v>
      </c>
      <c r="K728" s="3" t="s">
        <v>21</v>
      </c>
      <c r="L728" s="4">
        <v>636072</v>
      </c>
      <c r="M728" s="1">
        <f>O728*J728*K728</f>
        <v>0</v>
      </c>
      <c r="N728" s="3"/>
      <c r="O728" s="2">
        <f>L728/J728*(1-K728)</f>
        <v>53006</v>
      </c>
    </row>
    <row r="729" ht="14.25">
      <c r="A729" s="3" t="s">
        <v>157</v>
      </c>
      <c r="B729" s="3" t="s">
        <v>653</v>
      </c>
      <c r="C729" s="3" t="s">
        <v>660</v>
      </c>
      <c r="D729" s="3" t="s">
        <v>17</v>
      </c>
      <c r="E729" s="3" t="s">
        <v>34</v>
      </c>
      <c r="F729" s="3" t="s">
        <v>19</v>
      </c>
      <c r="G729" s="4">
        <v>0</v>
      </c>
      <c r="H729" s="4">
        <v>25092814</v>
      </c>
      <c r="I729" s="3" t="s">
        <v>663</v>
      </c>
      <c r="J729" s="4">
        <v>12</v>
      </c>
      <c r="K729" s="3" t="s">
        <v>21</v>
      </c>
      <c r="L729" s="4">
        <v>771120</v>
      </c>
      <c r="M729" s="1">
        <f>O729*J729*K729</f>
        <v>0</v>
      </c>
      <c r="N729" s="3"/>
      <c r="O729" s="2">
        <f>L729/J729*(1-K729)</f>
        <v>64260</v>
      </c>
    </row>
    <row r="730" ht="14.25">
      <c r="A730" s="3" t="s">
        <v>157</v>
      </c>
      <c r="B730" s="3" t="s">
        <v>653</v>
      </c>
      <c r="C730" s="3" t="s">
        <v>664</v>
      </c>
      <c r="D730" s="3" t="s">
        <v>17</v>
      </c>
      <c r="E730" s="3" t="s">
        <v>286</v>
      </c>
      <c r="F730" s="3" t="s">
        <v>19</v>
      </c>
      <c r="G730" s="4">
        <v>0</v>
      </c>
      <c r="H730" s="4">
        <v>3600000</v>
      </c>
      <c r="I730" s="3" t="s">
        <v>35</v>
      </c>
      <c r="J730" s="4">
        <v>1</v>
      </c>
      <c r="K730" s="3" t="s">
        <v>21</v>
      </c>
      <c r="L730" s="4">
        <v>3600000</v>
      </c>
      <c r="M730" s="1">
        <f>O730*J730*K730</f>
        <v>0</v>
      </c>
      <c r="N730" s="3"/>
      <c r="O730" s="2">
        <f>L730/J730*(1-K730)</f>
        <v>3600000</v>
      </c>
    </row>
    <row r="731" ht="14.25">
      <c r="A731" s="3" t="s">
        <v>157</v>
      </c>
      <c r="B731" s="3" t="s">
        <v>656</v>
      </c>
      <c r="C731" s="3" t="s">
        <v>665</v>
      </c>
      <c r="D731" s="3" t="s">
        <v>17</v>
      </c>
      <c r="E731" s="3" t="s">
        <v>666</v>
      </c>
      <c r="F731" s="3" t="s">
        <v>19</v>
      </c>
      <c r="G731" s="4">
        <v>0</v>
      </c>
      <c r="H731" s="4">
        <v>1134000</v>
      </c>
      <c r="I731" s="3" t="s">
        <v>454</v>
      </c>
      <c r="J731" s="4">
        <v>12</v>
      </c>
      <c r="K731" s="3" t="s">
        <v>355</v>
      </c>
      <c r="L731" s="4">
        <v>600000</v>
      </c>
      <c r="M731" s="1">
        <f>O731*J731*K731</f>
        <v>54000</v>
      </c>
      <c r="N731" s="3"/>
      <c r="O731" s="2">
        <f>L731/J731*(1-K731)</f>
        <v>45000</v>
      </c>
    </row>
    <row r="732" ht="14.25">
      <c r="A732" s="3" t="s">
        <v>157</v>
      </c>
      <c r="B732" s="3" t="s">
        <v>656</v>
      </c>
      <c r="C732" s="3" t="s">
        <v>665</v>
      </c>
      <c r="D732" s="3" t="s">
        <v>17</v>
      </c>
      <c r="E732" s="3" t="s">
        <v>666</v>
      </c>
      <c r="F732" s="3" t="s">
        <v>19</v>
      </c>
      <c r="G732" s="4">
        <v>0</v>
      </c>
      <c r="H732" s="4">
        <v>1134000</v>
      </c>
      <c r="I732" s="3" t="s">
        <v>327</v>
      </c>
      <c r="J732" s="4">
        <v>12</v>
      </c>
      <c r="K732" s="3" t="s">
        <v>355</v>
      </c>
      <c r="L732" s="4">
        <v>660000</v>
      </c>
      <c r="M732" s="1">
        <f>O732*J732*K732</f>
        <v>59400</v>
      </c>
      <c r="N732" s="3"/>
      <c r="O732" s="2">
        <f>L732/J732*(1-K732)</f>
        <v>49500</v>
      </c>
    </row>
    <row r="733" ht="14.25">
      <c r="A733" s="3" t="s">
        <v>157</v>
      </c>
      <c r="B733" s="3" t="s">
        <v>653</v>
      </c>
      <c r="C733" s="3" t="s">
        <v>667</v>
      </c>
      <c r="D733" s="3" t="s">
        <v>17</v>
      </c>
      <c r="E733" s="3" t="s">
        <v>369</v>
      </c>
      <c r="F733" s="3" t="s">
        <v>19</v>
      </c>
      <c r="G733" s="4">
        <v>0</v>
      </c>
      <c r="H733" s="4">
        <v>600000</v>
      </c>
      <c r="I733" s="3" t="s">
        <v>343</v>
      </c>
      <c r="J733" s="4">
        <v>1</v>
      </c>
      <c r="K733" s="3" t="s">
        <v>21</v>
      </c>
      <c r="L733" s="4">
        <v>600000</v>
      </c>
      <c r="M733" s="1">
        <f>O733*J733*K733</f>
        <v>0</v>
      </c>
      <c r="N733" s="3"/>
      <c r="O733" s="2">
        <f>L733/J733*(1-K733)</f>
        <v>600000</v>
      </c>
    </row>
    <row r="734" ht="14.25">
      <c r="A734" s="3" t="s">
        <v>284</v>
      </c>
      <c r="B734" s="3" t="s">
        <v>157</v>
      </c>
      <c r="C734" s="3" t="s">
        <v>668</v>
      </c>
      <c r="D734" s="3" t="s">
        <v>17</v>
      </c>
      <c r="E734" s="3" t="s">
        <v>369</v>
      </c>
      <c r="F734" s="3" t="s">
        <v>19</v>
      </c>
      <c r="G734" s="4">
        <v>0</v>
      </c>
      <c r="H734" s="4">
        <v>1025000</v>
      </c>
      <c r="I734" s="3" t="s">
        <v>94</v>
      </c>
      <c r="J734" s="4">
        <v>1</v>
      </c>
      <c r="K734" s="3" t="s">
        <v>21</v>
      </c>
      <c r="L734" s="4">
        <v>350000</v>
      </c>
      <c r="M734" s="1">
        <f>O734*J734*K734</f>
        <v>0</v>
      </c>
      <c r="N734" s="3"/>
      <c r="O734" s="2">
        <f>L734/J734*(1-K734)</f>
        <v>350000</v>
      </c>
    </row>
    <row r="735" ht="14.25">
      <c r="A735" s="3" t="s">
        <v>284</v>
      </c>
      <c r="B735" s="3" t="s">
        <v>157</v>
      </c>
      <c r="C735" s="3" t="s">
        <v>668</v>
      </c>
      <c r="D735" s="3" t="s">
        <v>17</v>
      </c>
      <c r="E735" s="3" t="s">
        <v>369</v>
      </c>
      <c r="F735" s="3" t="s">
        <v>19</v>
      </c>
      <c r="G735" s="4">
        <v>0</v>
      </c>
      <c r="H735" s="4">
        <v>1025000</v>
      </c>
      <c r="I735" s="3" t="s">
        <v>95</v>
      </c>
      <c r="J735" s="4">
        <v>1</v>
      </c>
      <c r="K735" s="3" t="s">
        <v>21</v>
      </c>
      <c r="L735" s="4">
        <v>175000</v>
      </c>
      <c r="M735" s="1">
        <f>O735*J735*K735</f>
        <v>0</v>
      </c>
      <c r="N735" s="3"/>
      <c r="O735" s="2">
        <f>L735/J735*(1-K735)</f>
        <v>175000</v>
      </c>
    </row>
    <row r="736" ht="14.25">
      <c r="A736" s="3" t="s">
        <v>284</v>
      </c>
      <c r="B736" s="3" t="s">
        <v>157</v>
      </c>
      <c r="C736" s="3" t="s">
        <v>668</v>
      </c>
      <c r="D736" s="3" t="s">
        <v>17</v>
      </c>
      <c r="E736" s="3" t="s">
        <v>369</v>
      </c>
      <c r="F736" s="3" t="s">
        <v>19</v>
      </c>
      <c r="G736" s="4">
        <v>0</v>
      </c>
      <c r="H736" s="4">
        <v>1025000</v>
      </c>
      <c r="I736" s="3" t="s">
        <v>29</v>
      </c>
      <c r="J736" s="4">
        <v>1</v>
      </c>
      <c r="K736" s="3" t="s">
        <v>21</v>
      </c>
      <c r="L736" s="4">
        <v>500000</v>
      </c>
      <c r="M736" s="1">
        <f>O736*J736*K736</f>
        <v>0</v>
      </c>
      <c r="N736" s="3"/>
      <c r="O736" s="2">
        <f>L736/J736*(1-K736)</f>
        <v>500000</v>
      </c>
    </row>
    <row r="737" ht="14.25">
      <c r="A737" s="3" t="s">
        <v>189</v>
      </c>
      <c r="B737" s="3" t="s">
        <v>669</v>
      </c>
      <c r="C737" s="3" t="s">
        <v>670</v>
      </c>
      <c r="D737" s="3" t="s">
        <v>17</v>
      </c>
      <c r="E737" s="3" t="s">
        <v>671</v>
      </c>
      <c r="F737" s="3" t="s">
        <v>19</v>
      </c>
      <c r="G737" s="4">
        <v>0</v>
      </c>
      <c r="H737" s="4">
        <v>20000000</v>
      </c>
      <c r="I737" s="3" t="s">
        <v>672</v>
      </c>
      <c r="J737" s="4">
        <v>2</v>
      </c>
      <c r="K737" s="3" t="s">
        <v>21</v>
      </c>
      <c r="L737" s="4">
        <v>14000000</v>
      </c>
      <c r="M737" s="1">
        <f>O737*J737*K737</f>
        <v>0</v>
      </c>
      <c r="N737" s="3"/>
      <c r="O737" s="2">
        <f>L737/J737*(1-K737)</f>
        <v>7000000</v>
      </c>
    </row>
    <row r="738" ht="14.25">
      <c r="A738" s="3" t="s">
        <v>189</v>
      </c>
      <c r="B738" s="3" t="s">
        <v>669</v>
      </c>
      <c r="C738" s="3" t="s">
        <v>670</v>
      </c>
      <c r="D738" s="3" t="s">
        <v>17</v>
      </c>
      <c r="E738" s="3" t="s">
        <v>671</v>
      </c>
      <c r="F738" s="3" t="s">
        <v>19</v>
      </c>
      <c r="G738" s="4">
        <v>0</v>
      </c>
      <c r="H738" s="4">
        <v>20000000</v>
      </c>
      <c r="I738" s="3" t="s">
        <v>86</v>
      </c>
      <c r="J738" s="4">
        <v>1</v>
      </c>
      <c r="K738" s="3" t="s">
        <v>21</v>
      </c>
      <c r="L738" s="4">
        <v>6000000</v>
      </c>
      <c r="M738" s="1">
        <f>O738*J738*K738</f>
        <v>0</v>
      </c>
      <c r="N738" s="3"/>
      <c r="O738" s="2">
        <f>L738/J738*(1-K738)</f>
        <v>6000000</v>
      </c>
    </row>
    <row r="739" ht="14.25">
      <c r="A739" s="3" t="s">
        <v>189</v>
      </c>
      <c r="B739" s="3" t="s">
        <v>669</v>
      </c>
      <c r="C739" s="3" t="s">
        <v>673</v>
      </c>
      <c r="D739" s="3" t="s">
        <v>17</v>
      </c>
      <c r="E739" s="3" t="s">
        <v>277</v>
      </c>
      <c r="F739" s="3" t="s">
        <v>19</v>
      </c>
      <c r="G739" s="4">
        <v>0</v>
      </c>
      <c r="H739" s="4">
        <v>2500000</v>
      </c>
      <c r="I739" s="3" t="s">
        <v>29</v>
      </c>
      <c r="J739" s="4">
        <v>5</v>
      </c>
      <c r="K739" s="3" t="s">
        <v>21</v>
      </c>
      <c r="L739" s="4">
        <v>2500000</v>
      </c>
      <c r="M739" s="1">
        <f>O739*J739*K739</f>
        <v>0</v>
      </c>
      <c r="N739" s="3"/>
      <c r="O739" s="2">
        <f>L739/J739*(1-K739)</f>
        <v>500000</v>
      </c>
    </row>
    <row r="740" ht="14.25">
      <c r="A740" s="3" t="s">
        <v>189</v>
      </c>
      <c r="B740" s="3" t="s">
        <v>304</v>
      </c>
      <c r="C740" s="3" t="s">
        <v>674</v>
      </c>
      <c r="D740" s="3" t="s">
        <v>17</v>
      </c>
      <c r="E740" s="3" t="s">
        <v>23</v>
      </c>
      <c r="F740" s="3" t="s">
        <v>19</v>
      </c>
      <c r="G740" s="4">
        <v>0</v>
      </c>
      <c r="H740" s="4">
        <v>4100000</v>
      </c>
      <c r="I740" s="3" t="s">
        <v>102</v>
      </c>
      <c r="J740" s="4">
        <v>2</v>
      </c>
      <c r="K740" s="3" t="s">
        <v>21</v>
      </c>
      <c r="L740" s="4">
        <v>4100000</v>
      </c>
      <c r="M740" s="1">
        <f>O740*J740*K740</f>
        <v>0</v>
      </c>
      <c r="N740" s="3"/>
      <c r="O740" s="2">
        <f>L740/J740*(1-K740)</f>
        <v>2050000</v>
      </c>
    </row>
    <row r="741" ht="14.25">
      <c r="A741" s="3" t="s">
        <v>189</v>
      </c>
      <c r="B741" s="3" t="s">
        <v>669</v>
      </c>
      <c r="C741" s="3" t="s">
        <v>675</v>
      </c>
      <c r="D741" s="3" t="s">
        <v>17</v>
      </c>
      <c r="E741" s="3" t="s">
        <v>403</v>
      </c>
      <c r="F741" s="3" t="s">
        <v>19</v>
      </c>
      <c r="G741" s="4">
        <v>0</v>
      </c>
      <c r="H741" s="4">
        <v>2512437</v>
      </c>
      <c r="I741" s="3" t="s">
        <v>676</v>
      </c>
      <c r="J741" s="4">
        <v>1</v>
      </c>
      <c r="K741" s="3" t="s">
        <v>21</v>
      </c>
      <c r="L741" s="4">
        <v>1361397</v>
      </c>
      <c r="M741" s="1">
        <f>O741*J741*K741</f>
        <v>0</v>
      </c>
      <c r="N741" s="3"/>
      <c r="O741" s="2">
        <f>L741/J741*(1-K741)</f>
        <v>1361397</v>
      </c>
    </row>
    <row r="742" ht="14.25">
      <c r="A742" s="3" t="s">
        <v>189</v>
      </c>
      <c r="B742" s="3" t="s">
        <v>669</v>
      </c>
      <c r="C742" s="3" t="s">
        <v>675</v>
      </c>
      <c r="D742" s="3" t="s">
        <v>17</v>
      </c>
      <c r="E742" s="3" t="s">
        <v>403</v>
      </c>
      <c r="F742" s="3" t="s">
        <v>19</v>
      </c>
      <c r="G742" s="4">
        <v>0</v>
      </c>
      <c r="H742" s="4">
        <v>2512437</v>
      </c>
      <c r="I742" s="3" t="s">
        <v>404</v>
      </c>
      <c r="J742" s="4">
        <v>2</v>
      </c>
      <c r="K742" s="3" t="s">
        <v>405</v>
      </c>
      <c r="L742" s="4">
        <v>1308000</v>
      </c>
      <c r="M742" s="1">
        <f>O742*J742*K742</f>
        <v>138124.79999999999</v>
      </c>
      <c r="N742" s="3"/>
      <c r="O742" s="2">
        <f>L742/J742*(1-K742)</f>
        <v>575520</v>
      </c>
    </row>
    <row r="743" ht="14.25">
      <c r="A743" s="3" t="s">
        <v>189</v>
      </c>
      <c r="B743" s="3" t="s">
        <v>304</v>
      </c>
      <c r="C743" s="3" t="s">
        <v>677</v>
      </c>
      <c r="D743" s="3" t="s">
        <v>17</v>
      </c>
      <c r="E743" s="3" t="s">
        <v>153</v>
      </c>
      <c r="F743" s="3" t="s">
        <v>19</v>
      </c>
      <c r="G743" s="4">
        <v>0</v>
      </c>
      <c r="H743" s="4">
        <v>7500000</v>
      </c>
      <c r="I743" s="3" t="s">
        <v>678</v>
      </c>
      <c r="J743" s="4">
        <v>1</v>
      </c>
      <c r="K743" s="3" t="s">
        <v>21</v>
      </c>
      <c r="L743" s="4">
        <v>7500000</v>
      </c>
      <c r="M743" s="1">
        <f>O743*J743*K743</f>
        <v>0</v>
      </c>
      <c r="N743" s="3"/>
      <c r="O743" s="2">
        <f>L743/J743*(1-K743)</f>
        <v>7500000</v>
      </c>
    </row>
    <row r="744" ht="14.25">
      <c r="A744" s="3" t="s">
        <v>189</v>
      </c>
      <c r="B744" s="3" t="s">
        <v>669</v>
      </c>
      <c r="C744" s="3" t="s">
        <v>679</v>
      </c>
      <c r="D744" s="3" t="s">
        <v>159</v>
      </c>
      <c r="E744" s="3" t="s">
        <v>53</v>
      </c>
      <c r="F744" s="3" t="s">
        <v>19</v>
      </c>
      <c r="G744" s="4">
        <v>7133308</v>
      </c>
      <c r="H744" s="4">
        <v>7133308</v>
      </c>
      <c r="I744" s="3" t="s">
        <v>417</v>
      </c>
      <c r="J744" s="4">
        <v>4</v>
      </c>
      <c r="K744" s="3" t="s">
        <v>21</v>
      </c>
      <c r="L744" s="4">
        <v>650000</v>
      </c>
      <c r="M744" s="1">
        <f>O744*J744*K744</f>
        <v>0</v>
      </c>
      <c r="N744" s="3"/>
      <c r="O744" s="2">
        <f>L744/J744*(1-K744)</f>
        <v>162500</v>
      </c>
    </row>
    <row r="745" ht="14.25">
      <c r="A745" s="3" t="s">
        <v>189</v>
      </c>
      <c r="B745" s="3" t="s">
        <v>669</v>
      </c>
      <c r="C745" s="3" t="s">
        <v>679</v>
      </c>
      <c r="D745" s="3" t="s">
        <v>159</v>
      </c>
      <c r="E745" s="3" t="s">
        <v>53</v>
      </c>
      <c r="F745" s="3" t="s">
        <v>19</v>
      </c>
      <c r="G745" s="4">
        <v>7133308</v>
      </c>
      <c r="H745" s="4">
        <v>7133308</v>
      </c>
      <c r="I745" s="3" t="s">
        <v>452</v>
      </c>
      <c r="J745" s="4">
        <v>6</v>
      </c>
      <c r="K745" s="3" t="s">
        <v>21</v>
      </c>
      <c r="L745" s="4">
        <v>1179648</v>
      </c>
      <c r="M745" s="1">
        <f>O745*J745*K745</f>
        <v>0</v>
      </c>
      <c r="N745" s="3"/>
      <c r="O745" s="2">
        <f>L745/J745*(1-K745)</f>
        <v>196608</v>
      </c>
    </row>
    <row r="746" ht="14.25">
      <c r="A746" s="3" t="s">
        <v>189</v>
      </c>
      <c r="B746" s="3" t="s">
        <v>669</v>
      </c>
      <c r="C746" s="3" t="s">
        <v>679</v>
      </c>
      <c r="D746" s="3" t="s">
        <v>159</v>
      </c>
      <c r="E746" s="3" t="s">
        <v>53</v>
      </c>
      <c r="F746" s="3" t="s">
        <v>19</v>
      </c>
      <c r="G746" s="4">
        <v>7133308</v>
      </c>
      <c r="H746" s="4">
        <v>7133308</v>
      </c>
      <c r="I746" s="3" t="s">
        <v>395</v>
      </c>
      <c r="J746" s="4">
        <v>6</v>
      </c>
      <c r="K746" s="3" t="s">
        <v>21</v>
      </c>
      <c r="L746" s="4">
        <v>750000</v>
      </c>
      <c r="M746" s="1">
        <f>O746*J746*K746</f>
        <v>0</v>
      </c>
      <c r="N746" s="3"/>
      <c r="O746" s="2">
        <f>L746/J746*(1-K746)</f>
        <v>125000</v>
      </c>
    </row>
    <row r="747" ht="14.25">
      <c r="A747" s="3" t="s">
        <v>189</v>
      </c>
      <c r="B747" s="3" t="s">
        <v>669</v>
      </c>
      <c r="C747" s="3" t="s">
        <v>679</v>
      </c>
      <c r="D747" s="3" t="s">
        <v>159</v>
      </c>
      <c r="E747" s="3" t="s">
        <v>53</v>
      </c>
      <c r="F747" s="3" t="s">
        <v>19</v>
      </c>
      <c r="G747" s="4">
        <v>7133308</v>
      </c>
      <c r="H747" s="4">
        <v>7133308</v>
      </c>
      <c r="I747" s="3" t="s">
        <v>108</v>
      </c>
      <c r="J747" s="4">
        <v>24</v>
      </c>
      <c r="K747" s="3" t="s">
        <v>21</v>
      </c>
      <c r="L747" s="4">
        <v>624000</v>
      </c>
      <c r="M747" s="1">
        <f>O747*J747*K747</f>
        <v>0</v>
      </c>
      <c r="N747" s="3"/>
      <c r="O747" s="2">
        <f>L747/J747*(1-K747)</f>
        <v>26000</v>
      </c>
    </row>
    <row r="748" ht="14.25">
      <c r="A748" s="3" t="s">
        <v>189</v>
      </c>
      <c r="B748" s="3" t="s">
        <v>669</v>
      </c>
      <c r="C748" s="3" t="s">
        <v>679</v>
      </c>
      <c r="D748" s="3" t="s">
        <v>159</v>
      </c>
      <c r="E748" s="3" t="s">
        <v>53</v>
      </c>
      <c r="F748" s="3" t="s">
        <v>19</v>
      </c>
      <c r="G748" s="4">
        <v>7133308</v>
      </c>
      <c r="H748" s="4">
        <v>7133308</v>
      </c>
      <c r="I748" s="3" t="s">
        <v>47</v>
      </c>
      <c r="J748" s="4">
        <v>48</v>
      </c>
      <c r="K748" s="3" t="s">
        <v>21</v>
      </c>
      <c r="L748" s="4">
        <v>1608000</v>
      </c>
      <c r="M748" s="1">
        <f>O748*J748*K748</f>
        <v>0</v>
      </c>
      <c r="N748" s="3"/>
      <c r="O748" s="2">
        <f>L748/J748*(1-K748)</f>
        <v>33500</v>
      </c>
    </row>
    <row r="749" ht="14.25">
      <c r="A749" s="3" t="s">
        <v>189</v>
      </c>
      <c r="B749" s="3" t="s">
        <v>669</v>
      </c>
      <c r="C749" s="3" t="s">
        <v>679</v>
      </c>
      <c r="D749" s="3" t="s">
        <v>159</v>
      </c>
      <c r="E749" s="3" t="s">
        <v>53</v>
      </c>
      <c r="F749" s="3" t="s">
        <v>19</v>
      </c>
      <c r="G749" s="4">
        <v>7133308</v>
      </c>
      <c r="H749" s="4">
        <v>7133308</v>
      </c>
      <c r="I749" s="3" t="s">
        <v>504</v>
      </c>
      <c r="J749" s="4">
        <v>6</v>
      </c>
      <c r="K749" s="3" t="s">
        <v>21</v>
      </c>
      <c r="L749" s="4">
        <v>798000</v>
      </c>
      <c r="M749" s="1">
        <f>O749*J749*K749</f>
        <v>0</v>
      </c>
      <c r="N749" s="3"/>
      <c r="O749" s="2">
        <f>L749/J749*(1-K749)</f>
        <v>133000</v>
      </c>
    </row>
    <row r="750" ht="14.25">
      <c r="A750" s="3" t="s">
        <v>189</v>
      </c>
      <c r="B750" s="3" t="s">
        <v>669</v>
      </c>
      <c r="C750" s="3" t="s">
        <v>679</v>
      </c>
      <c r="D750" s="3" t="s">
        <v>159</v>
      </c>
      <c r="E750" s="3" t="s">
        <v>53</v>
      </c>
      <c r="F750" s="3" t="s">
        <v>19</v>
      </c>
      <c r="G750" s="4">
        <v>7133308</v>
      </c>
      <c r="H750" s="4">
        <v>7133308</v>
      </c>
      <c r="I750" s="3" t="s">
        <v>129</v>
      </c>
      <c r="J750" s="4">
        <v>20</v>
      </c>
      <c r="K750" s="3" t="s">
        <v>21</v>
      </c>
      <c r="L750" s="4">
        <v>1523660</v>
      </c>
      <c r="M750" s="1">
        <f>O750*J750*K750</f>
        <v>0</v>
      </c>
      <c r="N750" s="3"/>
      <c r="O750" s="2">
        <f>L750/J750*(1-K750)</f>
        <v>76183</v>
      </c>
    </row>
    <row r="751" ht="14.25">
      <c r="A751" s="3" t="s">
        <v>189</v>
      </c>
      <c r="B751" s="3" t="s">
        <v>669</v>
      </c>
      <c r="C751" s="3" t="s">
        <v>680</v>
      </c>
      <c r="D751" s="3" t="s">
        <v>17</v>
      </c>
      <c r="E751" s="3" t="s">
        <v>681</v>
      </c>
      <c r="F751" s="3" t="s">
        <v>19</v>
      </c>
      <c r="G751" s="4">
        <v>0</v>
      </c>
      <c r="H751" s="4">
        <v>11168000</v>
      </c>
      <c r="I751" s="3" t="s">
        <v>39</v>
      </c>
      <c r="J751" s="4">
        <v>1</v>
      </c>
      <c r="K751" s="3" t="s">
        <v>21</v>
      </c>
      <c r="L751" s="4">
        <v>3800000</v>
      </c>
      <c r="M751" s="1">
        <f>O751*J751*K751</f>
        <v>0</v>
      </c>
      <c r="N751" s="3"/>
      <c r="O751" s="2">
        <f>L751/J751*(1-K751)</f>
        <v>3800000</v>
      </c>
    </row>
    <row r="752" ht="14.25">
      <c r="A752" s="3" t="s">
        <v>189</v>
      </c>
      <c r="B752" s="3" t="s">
        <v>669</v>
      </c>
      <c r="C752" s="3" t="s">
        <v>680</v>
      </c>
      <c r="D752" s="3" t="s">
        <v>17</v>
      </c>
      <c r="E752" s="3" t="s">
        <v>681</v>
      </c>
      <c r="F752" s="3" t="s">
        <v>19</v>
      </c>
      <c r="G752" s="4">
        <v>0</v>
      </c>
      <c r="H752" s="4">
        <v>11168000</v>
      </c>
      <c r="I752" s="3" t="s">
        <v>29</v>
      </c>
      <c r="J752" s="4">
        <v>4</v>
      </c>
      <c r="K752" s="3" t="s">
        <v>21</v>
      </c>
      <c r="L752" s="4">
        <v>2000000</v>
      </c>
      <c r="M752" s="1">
        <f>O752*J752*K752</f>
        <v>0</v>
      </c>
      <c r="N752" s="3"/>
      <c r="O752" s="2">
        <f>L752/J752*(1-K752)</f>
        <v>500000</v>
      </c>
    </row>
    <row r="753" ht="14.25">
      <c r="A753" s="3" t="s">
        <v>189</v>
      </c>
      <c r="B753" s="3" t="s">
        <v>669</v>
      </c>
      <c r="C753" s="3" t="s">
        <v>680</v>
      </c>
      <c r="D753" s="3" t="s">
        <v>17</v>
      </c>
      <c r="E753" s="3" t="s">
        <v>681</v>
      </c>
      <c r="F753" s="3" t="s">
        <v>19</v>
      </c>
      <c r="G753" s="4">
        <v>0</v>
      </c>
      <c r="H753" s="4">
        <v>11168000</v>
      </c>
      <c r="I753" s="3" t="s">
        <v>615</v>
      </c>
      <c r="J753" s="4">
        <v>2</v>
      </c>
      <c r="K753" s="3" t="s">
        <v>21</v>
      </c>
      <c r="L753" s="4">
        <v>2500000</v>
      </c>
      <c r="M753" s="1">
        <f>O753*J753*K753</f>
        <v>0</v>
      </c>
      <c r="N753" s="3"/>
      <c r="O753" s="2">
        <f>L753/J753*(1-K753)</f>
        <v>1250000</v>
      </c>
    </row>
    <row r="754" ht="14.25">
      <c r="A754" s="3" t="s">
        <v>189</v>
      </c>
      <c r="B754" s="3" t="s">
        <v>669</v>
      </c>
      <c r="C754" s="3" t="s">
        <v>680</v>
      </c>
      <c r="D754" s="3" t="s">
        <v>17</v>
      </c>
      <c r="E754" s="3" t="s">
        <v>681</v>
      </c>
      <c r="F754" s="3" t="s">
        <v>19</v>
      </c>
      <c r="G754" s="4">
        <v>0</v>
      </c>
      <c r="H754" s="4">
        <v>11168000</v>
      </c>
      <c r="I754" s="3" t="s">
        <v>182</v>
      </c>
      <c r="J754" s="4">
        <v>4</v>
      </c>
      <c r="K754" s="3" t="s">
        <v>21</v>
      </c>
      <c r="L754" s="4">
        <v>1348000</v>
      </c>
      <c r="M754" s="1">
        <f>O754*J754*K754</f>
        <v>0</v>
      </c>
      <c r="N754" s="3"/>
      <c r="O754" s="2">
        <f>L754/J754*(1-K754)</f>
        <v>337000</v>
      </c>
    </row>
    <row r="755" ht="14.25">
      <c r="A755" s="3" t="s">
        <v>189</v>
      </c>
      <c r="B755" s="3" t="s">
        <v>669</v>
      </c>
      <c r="C755" s="3" t="s">
        <v>680</v>
      </c>
      <c r="D755" s="3" t="s">
        <v>17</v>
      </c>
      <c r="E755" s="3" t="s">
        <v>681</v>
      </c>
      <c r="F755" s="3" t="s">
        <v>19</v>
      </c>
      <c r="G755" s="4">
        <v>0</v>
      </c>
      <c r="H755" s="4">
        <v>11168000</v>
      </c>
      <c r="I755" s="3" t="s">
        <v>69</v>
      </c>
      <c r="J755" s="4">
        <v>4</v>
      </c>
      <c r="K755" s="3" t="s">
        <v>21</v>
      </c>
      <c r="L755" s="4">
        <v>1520000</v>
      </c>
      <c r="M755" s="1">
        <f>O755*J755*K755</f>
        <v>0</v>
      </c>
      <c r="N755" s="3"/>
      <c r="O755" s="2">
        <f>L755/J755*(1-K755)</f>
        <v>380000</v>
      </c>
    </row>
    <row r="756" ht="14.25">
      <c r="A756" s="3" t="s">
        <v>189</v>
      </c>
      <c r="B756" s="3" t="s">
        <v>669</v>
      </c>
      <c r="C756" s="3" t="s">
        <v>682</v>
      </c>
      <c r="D756" s="3" t="s">
        <v>17</v>
      </c>
      <c r="E756" s="3" t="s">
        <v>683</v>
      </c>
      <c r="F756" s="3" t="s">
        <v>19</v>
      </c>
      <c r="G756" s="4">
        <v>0</v>
      </c>
      <c r="H756" s="4">
        <v>12470000</v>
      </c>
      <c r="I756" s="3" t="s">
        <v>378</v>
      </c>
      <c r="J756" s="4">
        <v>1</v>
      </c>
      <c r="K756" s="3" t="s">
        <v>21</v>
      </c>
      <c r="L756" s="4">
        <v>3200000</v>
      </c>
      <c r="M756" s="1">
        <f>O756*J756*K756</f>
        <v>0</v>
      </c>
      <c r="N756" s="3"/>
      <c r="O756" s="2">
        <f>L756/J756*(1-K756)</f>
        <v>3200000</v>
      </c>
    </row>
    <row r="757" ht="14.25">
      <c r="A757" s="3" t="s">
        <v>189</v>
      </c>
      <c r="B757" s="3" t="s">
        <v>669</v>
      </c>
      <c r="C757" s="3" t="s">
        <v>682</v>
      </c>
      <c r="D757" s="3" t="s">
        <v>17</v>
      </c>
      <c r="E757" s="3" t="s">
        <v>683</v>
      </c>
      <c r="F757" s="3" t="s">
        <v>19</v>
      </c>
      <c r="G757" s="4">
        <v>0</v>
      </c>
      <c r="H757" s="4">
        <v>12470000</v>
      </c>
      <c r="I757" s="3" t="s">
        <v>29</v>
      </c>
      <c r="J757" s="4">
        <v>2</v>
      </c>
      <c r="K757" s="3" t="s">
        <v>21</v>
      </c>
      <c r="L757" s="4">
        <v>1000000</v>
      </c>
      <c r="M757" s="1">
        <f>O757*J757*K757</f>
        <v>0</v>
      </c>
      <c r="N757" s="3"/>
      <c r="O757" s="2">
        <f>L757/J757*(1-K757)</f>
        <v>500000</v>
      </c>
    </row>
    <row r="758" ht="14.25">
      <c r="A758" s="3" t="s">
        <v>189</v>
      </c>
      <c r="B758" s="3" t="s">
        <v>669</v>
      </c>
      <c r="C758" s="3" t="s">
        <v>682</v>
      </c>
      <c r="D758" s="3" t="s">
        <v>17</v>
      </c>
      <c r="E758" s="3" t="s">
        <v>683</v>
      </c>
      <c r="F758" s="3" t="s">
        <v>19</v>
      </c>
      <c r="G758" s="4">
        <v>0</v>
      </c>
      <c r="H758" s="4">
        <v>12470000</v>
      </c>
      <c r="I758" s="3" t="s">
        <v>69</v>
      </c>
      <c r="J758" s="4">
        <v>4</v>
      </c>
      <c r="K758" s="3" t="s">
        <v>21</v>
      </c>
      <c r="L758" s="4">
        <v>1520000</v>
      </c>
      <c r="M758" s="1">
        <f>O758*J758*K758</f>
        <v>0</v>
      </c>
      <c r="N758" s="3"/>
      <c r="O758" s="2">
        <f>L758/J758*(1-K758)</f>
        <v>380000</v>
      </c>
    </row>
    <row r="759" ht="14.25">
      <c r="A759" s="3" t="s">
        <v>189</v>
      </c>
      <c r="B759" s="3" t="s">
        <v>669</v>
      </c>
      <c r="C759" s="3" t="s">
        <v>682</v>
      </c>
      <c r="D759" s="3" t="s">
        <v>17</v>
      </c>
      <c r="E759" s="3" t="s">
        <v>683</v>
      </c>
      <c r="F759" s="3" t="s">
        <v>19</v>
      </c>
      <c r="G759" s="4">
        <v>0</v>
      </c>
      <c r="H759" s="4">
        <v>12470000</v>
      </c>
      <c r="I759" s="3" t="s">
        <v>684</v>
      </c>
      <c r="J759" s="4">
        <v>5</v>
      </c>
      <c r="K759" s="3" t="s">
        <v>21</v>
      </c>
      <c r="L759" s="4">
        <v>3350000</v>
      </c>
      <c r="M759" s="1">
        <f>O759*J759*K759</f>
        <v>0</v>
      </c>
      <c r="N759" s="3"/>
      <c r="O759" s="2">
        <f>L759/J759*(1-K759)</f>
        <v>670000</v>
      </c>
    </row>
    <row r="760" ht="14.25">
      <c r="A760" s="3" t="s">
        <v>189</v>
      </c>
      <c r="B760" s="3" t="s">
        <v>669</v>
      </c>
      <c r="C760" s="3" t="s">
        <v>682</v>
      </c>
      <c r="D760" s="3" t="s">
        <v>17</v>
      </c>
      <c r="E760" s="3" t="s">
        <v>683</v>
      </c>
      <c r="F760" s="3" t="s">
        <v>19</v>
      </c>
      <c r="G760" s="4">
        <v>0</v>
      </c>
      <c r="H760" s="4">
        <v>12470000</v>
      </c>
      <c r="I760" s="3" t="s">
        <v>89</v>
      </c>
      <c r="J760" s="4">
        <v>5</v>
      </c>
      <c r="K760" s="3" t="s">
        <v>21</v>
      </c>
      <c r="L760" s="4">
        <v>3400000</v>
      </c>
      <c r="M760" s="1">
        <f>O760*J760*K760</f>
        <v>0</v>
      </c>
      <c r="N760" s="3"/>
      <c r="O760" s="2">
        <f>L760/J760*(1-K760)</f>
        <v>680000</v>
      </c>
    </row>
    <row r="761" ht="14.25">
      <c r="A761" s="3" t="s">
        <v>189</v>
      </c>
      <c r="B761" s="3" t="s">
        <v>669</v>
      </c>
      <c r="C761" s="3" t="s">
        <v>685</v>
      </c>
      <c r="D761" s="3" t="s">
        <v>17</v>
      </c>
      <c r="E761" s="3" t="s">
        <v>686</v>
      </c>
      <c r="F761" s="3" t="s">
        <v>19</v>
      </c>
      <c r="G761" s="4">
        <v>0</v>
      </c>
      <c r="H761" s="4">
        <v>9200000</v>
      </c>
      <c r="I761" s="3" t="s">
        <v>35</v>
      </c>
      <c r="J761" s="4">
        <v>1</v>
      </c>
      <c r="K761" s="3" t="s">
        <v>21</v>
      </c>
      <c r="L761" s="4">
        <v>4200000</v>
      </c>
      <c r="M761" s="1">
        <f>O761*J761*K761</f>
        <v>0</v>
      </c>
      <c r="N761" s="3"/>
      <c r="O761" s="2">
        <f>L761/J761*(1-K761)</f>
        <v>4200000</v>
      </c>
    </row>
    <row r="762" ht="14.25">
      <c r="A762" s="3" t="s">
        <v>189</v>
      </c>
      <c r="B762" s="3" t="s">
        <v>669</v>
      </c>
      <c r="C762" s="3" t="s">
        <v>685</v>
      </c>
      <c r="D762" s="3" t="s">
        <v>17</v>
      </c>
      <c r="E762" s="3" t="s">
        <v>686</v>
      </c>
      <c r="F762" s="3" t="s">
        <v>19</v>
      </c>
      <c r="G762" s="4">
        <v>0</v>
      </c>
      <c r="H762" s="4">
        <v>9200000</v>
      </c>
      <c r="I762" s="3" t="s">
        <v>382</v>
      </c>
      <c r="J762" s="4">
        <v>10</v>
      </c>
      <c r="K762" s="3" t="s">
        <v>21</v>
      </c>
      <c r="L762" s="4">
        <v>2400000</v>
      </c>
      <c r="M762" s="1">
        <f>O762*J762*K762</f>
        <v>0</v>
      </c>
      <c r="N762" s="3"/>
      <c r="O762" s="2">
        <f>L762/J762*(1-K762)</f>
        <v>240000</v>
      </c>
    </row>
    <row r="763" ht="14.25">
      <c r="A763" s="3" t="s">
        <v>189</v>
      </c>
      <c r="B763" s="3" t="s">
        <v>669</v>
      </c>
      <c r="C763" s="3" t="s">
        <v>685</v>
      </c>
      <c r="D763" s="3" t="s">
        <v>17</v>
      </c>
      <c r="E763" s="3" t="s">
        <v>686</v>
      </c>
      <c r="F763" s="3" t="s">
        <v>19</v>
      </c>
      <c r="G763" s="4">
        <v>0</v>
      </c>
      <c r="H763" s="4">
        <v>9200000</v>
      </c>
      <c r="I763" s="3" t="s">
        <v>319</v>
      </c>
      <c r="J763" s="4">
        <v>10</v>
      </c>
      <c r="K763" s="3" t="s">
        <v>21</v>
      </c>
      <c r="L763" s="4">
        <v>2600000</v>
      </c>
      <c r="M763" s="1">
        <f>O763*J763*K763</f>
        <v>0</v>
      </c>
      <c r="N763" s="3"/>
      <c r="O763" s="2">
        <f>L763/J763*(1-K763)</f>
        <v>260000</v>
      </c>
    </row>
    <row r="764" ht="14.25">
      <c r="A764" s="3" t="s">
        <v>189</v>
      </c>
      <c r="B764" s="3" t="s">
        <v>304</v>
      </c>
      <c r="C764" s="3" t="s">
        <v>687</v>
      </c>
      <c r="D764" s="3" t="s">
        <v>17</v>
      </c>
      <c r="E764" s="3" t="s">
        <v>369</v>
      </c>
      <c r="F764" s="3" t="s">
        <v>19</v>
      </c>
      <c r="G764" s="4">
        <v>0</v>
      </c>
      <c r="H764" s="4">
        <v>437532</v>
      </c>
      <c r="I764" s="3" t="s">
        <v>688</v>
      </c>
      <c r="J764" s="4">
        <v>12</v>
      </c>
      <c r="K764" s="3" t="s">
        <v>21</v>
      </c>
      <c r="L764" s="4">
        <v>437532</v>
      </c>
      <c r="M764" s="1">
        <f>O764*J764*K764</f>
        <v>0</v>
      </c>
      <c r="N764" s="3"/>
      <c r="O764" s="2">
        <f>L764/J764*(1-K764)</f>
        <v>36461</v>
      </c>
    </row>
    <row r="765" ht="14.25">
      <c r="A765" s="3" t="s">
        <v>579</v>
      </c>
      <c r="B765" s="3" t="s">
        <v>689</v>
      </c>
      <c r="C765" s="3" t="s">
        <v>690</v>
      </c>
      <c r="D765" s="3" t="s">
        <v>159</v>
      </c>
      <c r="E765" s="3" t="s">
        <v>691</v>
      </c>
      <c r="F765" s="3" t="s">
        <v>19</v>
      </c>
      <c r="G765" s="4">
        <v>5388000</v>
      </c>
      <c r="H765" s="4">
        <v>5388000</v>
      </c>
      <c r="I765" s="3" t="s">
        <v>365</v>
      </c>
      <c r="J765" s="4">
        <v>12</v>
      </c>
      <c r="K765" s="3" t="s">
        <v>692</v>
      </c>
      <c r="L765" s="4">
        <v>3600000</v>
      </c>
      <c r="M765" s="1">
        <f>O765*J765*K765</f>
        <v>819000</v>
      </c>
      <c r="N765" s="3"/>
      <c r="O765" s="2">
        <f>L765/J765*(1-K765)</f>
        <v>195000</v>
      </c>
    </row>
    <row r="766" ht="14.25">
      <c r="A766" s="3" t="s">
        <v>579</v>
      </c>
      <c r="B766" s="3" t="s">
        <v>689</v>
      </c>
      <c r="C766" s="3" t="s">
        <v>690</v>
      </c>
      <c r="D766" s="3" t="s">
        <v>159</v>
      </c>
      <c r="E766" s="3" t="s">
        <v>691</v>
      </c>
      <c r="F766" s="3" t="s">
        <v>19</v>
      </c>
      <c r="G766" s="4">
        <v>5388000</v>
      </c>
      <c r="H766" s="4">
        <v>5388000</v>
      </c>
      <c r="I766" s="3" t="s">
        <v>693</v>
      </c>
      <c r="J766" s="4">
        <v>24</v>
      </c>
      <c r="K766" s="3" t="s">
        <v>692</v>
      </c>
      <c r="L766" s="4">
        <v>1920000</v>
      </c>
      <c r="M766" s="1">
        <f>O766*J766*K766</f>
        <v>436800</v>
      </c>
      <c r="N766" s="3"/>
      <c r="O766" s="2">
        <f>L766/J766*(1-K766)</f>
        <v>52000</v>
      </c>
    </row>
    <row r="767" ht="14.25">
      <c r="A767" s="3" t="s">
        <v>579</v>
      </c>
      <c r="B767" s="3" t="s">
        <v>689</v>
      </c>
      <c r="C767" s="3" t="s">
        <v>690</v>
      </c>
      <c r="D767" s="3" t="s">
        <v>159</v>
      </c>
      <c r="E767" s="3" t="s">
        <v>691</v>
      </c>
      <c r="F767" s="3" t="s">
        <v>19</v>
      </c>
      <c r="G767" s="4">
        <v>5388000</v>
      </c>
      <c r="H767" s="4">
        <v>5388000</v>
      </c>
      <c r="I767" s="3" t="s">
        <v>328</v>
      </c>
      <c r="J767" s="4">
        <v>12</v>
      </c>
      <c r="K767" s="3" t="s">
        <v>694</v>
      </c>
      <c r="L767" s="4">
        <v>2400000</v>
      </c>
      <c r="M767" s="1">
        <f>O767*J767*K767</f>
        <v>450000</v>
      </c>
      <c r="N767" s="3"/>
      <c r="O767" s="2">
        <f>L767/J767*(1-K767)</f>
        <v>150000</v>
      </c>
    </row>
    <row r="768" ht="14.25">
      <c r="A768" s="3" t="s">
        <v>579</v>
      </c>
      <c r="B768" s="3" t="s">
        <v>695</v>
      </c>
      <c r="C768" s="3" t="s">
        <v>696</v>
      </c>
      <c r="D768" s="3" t="s">
        <v>17</v>
      </c>
      <c r="E768" s="3" t="s">
        <v>360</v>
      </c>
      <c r="F768" s="3" t="s">
        <v>19</v>
      </c>
      <c r="G768" s="4">
        <v>0</v>
      </c>
      <c r="H768" s="4">
        <v>18566352</v>
      </c>
      <c r="I768" s="3" t="s">
        <v>32</v>
      </c>
      <c r="J768" s="4">
        <v>600</v>
      </c>
      <c r="K768" s="3" t="s">
        <v>21</v>
      </c>
      <c r="L768" s="4">
        <v>13500000</v>
      </c>
      <c r="M768" s="1">
        <f>O768*J768*K768</f>
        <v>0</v>
      </c>
      <c r="N768" s="3"/>
      <c r="O768" s="2">
        <f>L768/J768*(1-K768)</f>
        <v>22500</v>
      </c>
    </row>
    <row r="769" ht="14.25">
      <c r="A769" s="3" t="s">
        <v>579</v>
      </c>
      <c r="B769" s="3" t="s">
        <v>695</v>
      </c>
      <c r="C769" s="3" t="s">
        <v>696</v>
      </c>
      <c r="D769" s="3" t="s">
        <v>17</v>
      </c>
      <c r="E769" s="3" t="s">
        <v>360</v>
      </c>
      <c r="F769" s="3" t="s">
        <v>19</v>
      </c>
      <c r="G769" s="4">
        <v>0</v>
      </c>
      <c r="H769" s="4">
        <v>18566352</v>
      </c>
      <c r="I769" s="3" t="s">
        <v>163</v>
      </c>
      <c r="J769" s="4">
        <v>24</v>
      </c>
      <c r="K769" s="3" t="s">
        <v>21</v>
      </c>
      <c r="L769" s="4">
        <v>698352</v>
      </c>
      <c r="M769" s="1">
        <f>O769*J769*K769</f>
        <v>0</v>
      </c>
      <c r="N769" s="3"/>
      <c r="O769" s="2">
        <f>L769/J769*(1-K769)</f>
        <v>29098</v>
      </c>
    </row>
    <row r="770" ht="14.25">
      <c r="A770" s="3" t="s">
        <v>579</v>
      </c>
      <c r="B770" s="3" t="s">
        <v>695</v>
      </c>
      <c r="C770" s="3" t="s">
        <v>696</v>
      </c>
      <c r="D770" s="3" t="s">
        <v>17</v>
      </c>
      <c r="E770" s="3" t="s">
        <v>360</v>
      </c>
      <c r="F770" s="3" t="s">
        <v>19</v>
      </c>
      <c r="G770" s="4">
        <v>0</v>
      </c>
      <c r="H770" s="4">
        <v>18566352</v>
      </c>
      <c r="I770" s="3" t="s">
        <v>108</v>
      </c>
      <c r="J770" s="4">
        <v>144</v>
      </c>
      <c r="K770" s="3" t="s">
        <v>21</v>
      </c>
      <c r="L770" s="4">
        <v>3312000</v>
      </c>
      <c r="M770" s="1">
        <f>O770*J770*K770</f>
        <v>0</v>
      </c>
      <c r="N770" s="3"/>
      <c r="O770" s="2">
        <f>L770/J770*(1-K770)</f>
        <v>23000</v>
      </c>
    </row>
    <row r="771" ht="14.25">
      <c r="A771" s="3" t="s">
        <v>579</v>
      </c>
      <c r="B771" s="3" t="s">
        <v>695</v>
      </c>
      <c r="C771" s="3" t="s">
        <v>696</v>
      </c>
      <c r="D771" s="3" t="s">
        <v>17</v>
      </c>
      <c r="E771" s="3" t="s">
        <v>360</v>
      </c>
      <c r="F771" s="3" t="s">
        <v>19</v>
      </c>
      <c r="G771" s="4">
        <v>0</v>
      </c>
      <c r="H771" s="4">
        <v>18566352</v>
      </c>
      <c r="I771" s="3" t="s">
        <v>633</v>
      </c>
      <c r="J771" s="4">
        <v>48</v>
      </c>
      <c r="K771" s="3" t="s">
        <v>21</v>
      </c>
      <c r="L771" s="4">
        <v>1056000</v>
      </c>
      <c r="M771" s="1">
        <f>O771*J771*K771</f>
        <v>0</v>
      </c>
      <c r="N771" s="3"/>
      <c r="O771" s="2">
        <f>L771/J771*(1-K771)</f>
        <v>22000</v>
      </c>
    </row>
    <row r="772" ht="14.25">
      <c r="A772" s="3" t="s">
        <v>579</v>
      </c>
      <c r="B772" s="3" t="s">
        <v>689</v>
      </c>
      <c r="C772" s="3" t="s">
        <v>697</v>
      </c>
      <c r="D772" s="3" t="s">
        <v>17</v>
      </c>
      <c r="E772" s="3" t="s">
        <v>168</v>
      </c>
      <c r="F772" s="3" t="s">
        <v>19</v>
      </c>
      <c r="G772" s="4">
        <v>0</v>
      </c>
      <c r="H772" s="4">
        <v>3320000</v>
      </c>
      <c r="I772" s="3" t="s">
        <v>250</v>
      </c>
      <c r="J772" s="4">
        <v>4</v>
      </c>
      <c r="K772" s="3" t="s">
        <v>21</v>
      </c>
      <c r="L772" s="4">
        <v>700000</v>
      </c>
      <c r="M772" s="1">
        <f>O772*J772*K772</f>
        <v>0</v>
      </c>
      <c r="N772" s="3"/>
      <c r="O772" s="2">
        <f>L772/J772*(1-K772)</f>
        <v>175000</v>
      </c>
    </row>
    <row r="773" ht="14.25">
      <c r="A773" s="3" t="s">
        <v>579</v>
      </c>
      <c r="B773" s="3" t="s">
        <v>689</v>
      </c>
      <c r="C773" s="3" t="s">
        <v>697</v>
      </c>
      <c r="D773" s="3" t="s">
        <v>17</v>
      </c>
      <c r="E773" s="3" t="s">
        <v>168</v>
      </c>
      <c r="F773" s="3" t="s">
        <v>19</v>
      </c>
      <c r="G773" s="4">
        <v>0</v>
      </c>
      <c r="H773" s="4">
        <v>3320000</v>
      </c>
      <c r="I773" s="3" t="s">
        <v>415</v>
      </c>
      <c r="J773" s="4">
        <v>6</v>
      </c>
      <c r="K773" s="3" t="s">
        <v>21</v>
      </c>
      <c r="L773" s="4">
        <v>750000</v>
      </c>
      <c r="M773" s="1">
        <f>O773*J773*K773</f>
        <v>0</v>
      </c>
      <c r="N773" s="3"/>
      <c r="O773" s="2">
        <f>L773/J773*(1-K773)</f>
        <v>125000</v>
      </c>
    </row>
    <row r="774" ht="14.25">
      <c r="A774" s="3" t="s">
        <v>579</v>
      </c>
      <c r="B774" s="3" t="s">
        <v>689</v>
      </c>
      <c r="C774" s="3" t="s">
        <v>697</v>
      </c>
      <c r="D774" s="3" t="s">
        <v>17</v>
      </c>
      <c r="E774" s="3" t="s">
        <v>168</v>
      </c>
      <c r="F774" s="3" t="s">
        <v>19</v>
      </c>
      <c r="G774" s="4">
        <v>0</v>
      </c>
      <c r="H774" s="4">
        <v>3320000</v>
      </c>
      <c r="I774" s="3" t="s">
        <v>698</v>
      </c>
      <c r="J774" s="4">
        <v>40</v>
      </c>
      <c r="K774" s="3" t="s">
        <v>21</v>
      </c>
      <c r="L774" s="4">
        <v>1340000</v>
      </c>
      <c r="M774" s="1">
        <f>O774*J774*K774</f>
        <v>0</v>
      </c>
      <c r="N774" s="3"/>
      <c r="O774" s="2">
        <f>L774/J774*(1-K774)</f>
        <v>33500</v>
      </c>
    </row>
    <row r="775" ht="14.25">
      <c r="A775" s="3" t="s">
        <v>579</v>
      </c>
      <c r="B775" s="3" t="s">
        <v>689</v>
      </c>
      <c r="C775" s="3" t="s">
        <v>697</v>
      </c>
      <c r="D775" s="3" t="s">
        <v>17</v>
      </c>
      <c r="E775" s="3" t="s">
        <v>168</v>
      </c>
      <c r="F775" s="3" t="s">
        <v>19</v>
      </c>
      <c r="G775" s="4">
        <v>0</v>
      </c>
      <c r="H775" s="4">
        <v>3320000</v>
      </c>
      <c r="I775" s="3" t="s">
        <v>393</v>
      </c>
      <c r="J775" s="4">
        <v>2</v>
      </c>
      <c r="K775" s="3" t="s">
        <v>21</v>
      </c>
      <c r="L775" s="4">
        <v>530000</v>
      </c>
      <c r="M775" s="1">
        <f>O775*J775*K775</f>
        <v>0</v>
      </c>
      <c r="N775" s="3"/>
      <c r="O775" s="2">
        <f>L775/J775*(1-K775)</f>
        <v>265000</v>
      </c>
    </row>
    <row r="776" ht="14.25">
      <c r="A776" s="3" t="s">
        <v>579</v>
      </c>
      <c r="B776" s="3" t="s">
        <v>695</v>
      </c>
      <c r="C776" s="3" t="s">
        <v>699</v>
      </c>
      <c r="D776" s="3" t="s">
        <v>17</v>
      </c>
      <c r="E776" s="3" t="s">
        <v>34</v>
      </c>
      <c r="F776" s="3" t="s">
        <v>19</v>
      </c>
      <c r="G776" s="4">
        <v>0</v>
      </c>
      <c r="H776" s="4">
        <v>28200000</v>
      </c>
      <c r="I776" s="3" t="s">
        <v>35</v>
      </c>
      <c r="J776" s="4">
        <v>3</v>
      </c>
      <c r="K776" s="3" t="s">
        <v>21</v>
      </c>
      <c r="L776" s="4">
        <v>10650000</v>
      </c>
      <c r="M776" s="1">
        <f>O776*J776*K776</f>
        <v>0</v>
      </c>
      <c r="N776" s="3"/>
      <c r="O776" s="2">
        <f>L776/J776*(1-K776)</f>
        <v>3550000</v>
      </c>
    </row>
    <row r="777" ht="14.25">
      <c r="A777" s="3" t="s">
        <v>579</v>
      </c>
      <c r="B777" s="3" t="s">
        <v>695</v>
      </c>
      <c r="C777" s="3" t="s">
        <v>699</v>
      </c>
      <c r="D777" s="3" t="s">
        <v>17</v>
      </c>
      <c r="E777" s="3" t="s">
        <v>34</v>
      </c>
      <c r="F777" s="3" t="s">
        <v>19</v>
      </c>
      <c r="G777" s="4">
        <v>0</v>
      </c>
      <c r="H777" s="4">
        <v>28200000</v>
      </c>
      <c r="I777" s="3" t="s">
        <v>700</v>
      </c>
      <c r="J777" s="4">
        <v>3</v>
      </c>
      <c r="K777" s="3" t="s">
        <v>21</v>
      </c>
      <c r="L777" s="4">
        <v>10110000</v>
      </c>
      <c r="M777" s="1">
        <f>O777*J777*K777</f>
        <v>0</v>
      </c>
      <c r="N777" s="3"/>
      <c r="O777" s="2">
        <f>L777/J777*(1-K777)</f>
        <v>3370000</v>
      </c>
    </row>
    <row r="778" ht="14.25">
      <c r="A778" s="3" t="s">
        <v>579</v>
      </c>
      <c r="B778" s="3" t="s">
        <v>695</v>
      </c>
      <c r="C778" s="3" t="s">
        <v>699</v>
      </c>
      <c r="D778" s="3" t="s">
        <v>17</v>
      </c>
      <c r="E778" s="3" t="s">
        <v>34</v>
      </c>
      <c r="F778" s="3" t="s">
        <v>19</v>
      </c>
      <c r="G778" s="4">
        <v>0</v>
      </c>
      <c r="H778" s="4">
        <v>28200000</v>
      </c>
      <c r="I778" s="3" t="s">
        <v>593</v>
      </c>
      <c r="J778" s="4">
        <v>2</v>
      </c>
      <c r="K778" s="3" t="s">
        <v>21</v>
      </c>
      <c r="L778" s="4">
        <v>1240000</v>
      </c>
      <c r="M778" s="1">
        <f>O778*J778*K778</f>
        <v>0</v>
      </c>
      <c r="N778" s="3"/>
      <c r="O778" s="2">
        <f>L778/J778*(1-K778)</f>
        <v>620000</v>
      </c>
    </row>
    <row r="779" ht="14.25">
      <c r="A779" s="3" t="s">
        <v>579</v>
      </c>
      <c r="B779" s="3" t="s">
        <v>695</v>
      </c>
      <c r="C779" s="3" t="s">
        <v>699</v>
      </c>
      <c r="D779" s="3" t="s">
        <v>17</v>
      </c>
      <c r="E779" s="3" t="s">
        <v>34</v>
      </c>
      <c r="F779" s="3" t="s">
        <v>19</v>
      </c>
      <c r="G779" s="4">
        <v>0</v>
      </c>
      <c r="H779" s="4">
        <v>28200000</v>
      </c>
      <c r="I779" s="3" t="s">
        <v>701</v>
      </c>
      <c r="J779" s="4">
        <v>5</v>
      </c>
      <c r="K779" s="3" t="s">
        <v>21</v>
      </c>
      <c r="L779" s="4">
        <v>1100000</v>
      </c>
      <c r="M779" s="1">
        <f>O779*J779*K779</f>
        <v>0</v>
      </c>
      <c r="N779" s="3"/>
      <c r="O779" s="2">
        <f>L779/J779*(1-K779)</f>
        <v>220000</v>
      </c>
    </row>
    <row r="780" ht="14.25">
      <c r="A780" s="3" t="s">
        <v>579</v>
      </c>
      <c r="B780" s="3" t="s">
        <v>695</v>
      </c>
      <c r="C780" s="3" t="s">
        <v>699</v>
      </c>
      <c r="D780" s="3" t="s">
        <v>17</v>
      </c>
      <c r="E780" s="3" t="s">
        <v>34</v>
      </c>
      <c r="F780" s="3" t="s">
        <v>19</v>
      </c>
      <c r="G780" s="4">
        <v>0</v>
      </c>
      <c r="H780" s="4">
        <v>28200000</v>
      </c>
      <c r="I780" s="3" t="s">
        <v>394</v>
      </c>
      <c r="J780" s="4">
        <v>10</v>
      </c>
      <c r="K780" s="3" t="s">
        <v>21</v>
      </c>
      <c r="L780" s="4">
        <v>3400000</v>
      </c>
      <c r="M780" s="1">
        <f>O780*J780*K780</f>
        <v>0</v>
      </c>
      <c r="N780" s="3"/>
      <c r="O780" s="2">
        <f>L780/J780*(1-K780)</f>
        <v>340000</v>
      </c>
    </row>
    <row r="781" ht="14.25">
      <c r="A781" s="3" t="s">
        <v>579</v>
      </c>
      <c r="B781" s="3" t="s">
        <v>695</v>
      </c>
      <c r="C781" s="3" t="s">
        <v>699</v>
      </c>
      <c r="D781" s="3" t="s">
        <v>17</v>
      </c>
      <c r="E781" s="3" t="s">
        <v>34</v>
      </c>
      <c r="F781" s="3" t="s">
        <v>19</v>
      </c>
      <c r="G781" s="4">
        <v>0</v>
      </c>
      <c r="H781" s="4">
        <v>28200000</v>
      </c>
      <c r="I781" s="3" t="s">
        <v>123</v>
      </c>
      <c r="J781" s="4">
        <v>5</v>
      </c>
      <c r="K781" s="3" t="s">
        <v>21</v>
      </c>
      <c r="L781" s="4">
        <v>1700000</v>
      </c>
      <c r="M781" s="1">
        <f>O781*J781*K781</f>
        <v>0</v>
      </c>
      <c r="N781" s="3"/>
      <c r="O781" s="2">
        <f>L781/J781*(1-K781)</f>
        <v>340000</v>
      </c>
    </row>
    <row r="782" ht="14.25">
      <c r="A782" s="3" t="s">
        <v>579</v>
      </c>
      <c r="B782" s="3" t="s">
        <v>579</v>
      </c>
      <c r="C782" s="3" t="s">
        <v>702</v>
      </c>
      <c r="D782" s="3" t="s">
        <v>17</v>
      </c>
      <c r="E782" s="3" t="s">
        <v>340</v>
      </c>
      <c r="F782" s="3" t="s">
        <v>19</v>
      </c>
      <c r="G782" s="4">
        <v>0</v>
      </c>
      <c r="H782" s="4">
        <v>620000</v>
      </c>
      <c r="I782" s="3" t="s">
        <v>399</v>
      </c>
      <c r="J782" s="4">
        <v>2</v>
      </c>
      <c r="K782" s="3" t="s">
        <v>21</v>
      </c>
      <c r="L782" s="4">
        <v>620000</v>
      </c>
      <c r="M782" s="1">
        <f>O782*J782*K782</f>
        <v>0</v>
      </c>
      <c r="N782" s="3"/>
      <c r="O782" s="2">
        <f>L782/J782*(1-K782)</f>
        <v>310000</v>
      </c>
    </row>
    <row r="783" ht="14.25">
      <c r="A783" s="3" t="s">
        <v>254</v>
      </c>
      <c r="B783" s="3" t="s">
        <v>386</v>
      </c>
      <c r="C783" s="3" t="s">
        <v>703</v>
      </c>
      <c r="D783" s="3" t="s">
        <v>17</v>
      </c>
      <c r="E783" s="3" t="s">
        <v>704</v>
      </c>
      <c r="F783" s="3" t="s">
        <v>19</v>
      </c>
      <c r="G783" s="4">
        <v>0</v>
      </c>
      <c r="H783" s="4">
        <v>1240000</v>
      </c>
      <c r="I783" s="3" t="s">
        <v>56</v>
      </c>
      <c r="J783" s="4">
        <v>4</v>
      </c>
      <c r="K783" s="3" t="s">
        <v>21</v>
      </c>
      <c r="L783" s="4">
        <v>620000</v>
      </c>
      <c r="M783" s="1">
        <f>O783*J783*K783</f>
        <v>0</v>
      </c>
      <c r="N783" s="3"/>
      <c r="O783" s="2">
        <f>L783/J783*(1-K783)</f>
        <v>155000</v>
      </c>
    </row>
    <row r="784" ht="14.25">
      <c r="A784" s="3" t="s">
        <v>254</v>
      </c>
      <c r="B784" s="3" t="s">
        <v>386</v>
      </c>
      <c r="C784" s="3" t="s">
        <v>703</v>
      </c>
      <c r="D784" s="3" t="s">
        <v>17</v>
      </c>
      <c r="E784" s="3" t="s">
        <v>704</v>
      </c>
      <c r="F784" s="3" t="s">
        <v>19</v>
      </c>
      <c r="G784" s="4">
        <v>0</v>
      </c>
      <c r="H784" s="4">
        <v>1240000</v>
      </c>
      <c r="I784" s="3" t="s">
        <v>399</v>
      </c>
      <c r="J784" s="4">
        <v>2</v>
      </c>
      <c r="K784" s="3" t="s">
        <v>21</v>
      </c>
      <c r="L784" s="4">
        <v>620000</v>
      </c>
      <c r="M784" s="1">
        <f>O784*J784*K784</f>
        <v>0</v>
      </c>
      <c r="N784" s="3"/>
      <c r="O784" s="2">
        <f>L784/J784*(1-K784)</f>
        <v>310000</v>
      </c>
    </row>
    <row r="785" ht="14.25">
      <c r="A785" s="3" t="s">
        <v>254</v>
      </c>
      <c r="B785" s="3" t="s">
        <v>705</v>
      </c>
      <c r="C785" s="3" t="s">
        <v>706</v>
      </c>
      <c r="D785" s="3" t="s">
        <v>17</v>
      </c>
      <c r="E785" s="3" t="s">
        <v>707</v>
      </c>
      <c r="F785" s="3" t="s">
        <v>19</v>
      </c>
      <c r="G785" s="4">
        <v>0</v>
      </c>
      <c r="H785" s="4">
        <v>41830012</v>
      </c>
      <c r="I785" s="3" t="s">
        <v>399</v>
      </c>
      <c r="J785" s="4">
        <v>30</v>
      </c>
      <c r="K785" s="3" t="s">
        <v>21</v>
      </c>
      <c r="L785" s="4">
        <v>9600000</v>
      </c>
      <c r="M785" s="1">
        <f>O785*J785*K785</f>
        <v>0</v>
      </c>
      <c r="N785" s="3"/>
      <c r="O785" s="2">
        <f>L785/J785*(1-K785)</f>
        <v>320000</v>
      </c>
    </row>
    <row r="786" ht="14.25">
      <c r="A786" s="3" t="s">
        <v>254</v>
      </c>
      <c r="B786" s="3" t="s">
        <v>705</v>
      </c>
      <c r="C786" s="3" t="s">
        <v>706</v>
      </c>
      <c r="D786" s="3" t="s">
        <v>17</v>
      </c>
      <c r="E786" s="3" t="s">
        <v>707</v>
      </c>
      <c r="F786" s="3" t="s">
        <v>19</v>
      </c>
      <c r="G786" s="4">
        <v>0</v>
      </c>
      <c r="H786" s="4">
        <v>41830012</v>
      </c>
      <c r="I786" s="3" t="s">
        <v>56</v>
      </c>
      <c r="J786" s="4">
        <v>40</v>
      </c>
      <c r="K786" s="3" t="s">
        <v>21</v>
      </c>
      <c r="L786" s="4">
        <v>6400000</v>
      </c>
      <c r="M786" s="1">
        <f>O786*J786*K786</f>
        <v>0</v>
      </c>
      <c r="N786" s="3"/>
      <c r="O786" s="2">
        <f>L786/J786*(1-K786)</f>
        <v>160000</v>
      </c>
    </row>
    <row r="787" ht="14.25">
      <c r="A787" s="3" t="s">
        <v>254</v>
      </c>
      <c r="B787" s="3" t="s">
        <v>705</v>
      </c>
      <c r="C787" s="3" t="s">
        <v>706</v>
      </c>
      <c r="D787" s="3" t="s">
        <v>17</v>
      </c>
      <c r="E787" s="3" t="s">
        <v>707</v>
      </c>
      <c r="F787" s="3" t="s">
        <v>19</v>
      </c>
      <c r="G787" s="4">
        <v>0</v>
      </c>
      <c r="H787" s="4">
        <v>41830012</v>
      </c>
      <c r="I787" s="3" t="s">
        <v>474</v>
      </c>
      <c r="J787" s="4">
        <v>30</v>
      </c>
      <c r="K787" s="3" t="s">
        <v>21</v>
      </c>
      <c r="L787" s="4">
        <v>10350000</v>
      </c>
      <c r="M787" s="1">
        <f>O787*J787*K787</f>
        <v>0</v>
      </c>
      <c r="N787" s="3"/>
      <c r="O787" s="2">
        <f>L787/J787*(1-K787)</f>
        <v>345000</v>
      </c>
    </row>
    <row r="788" ht="14.25">
      <c r="A788" s="3" t="s">
        <v>254</v>
      </c>
      <c r="B788" s="3" t="s">
        <v>705</v>
      </c>
      <c r="C788" s="3" t="s">
        <v>706</v>
      </c>
      <c r="D788" s="3" t="s">
        <v>17</v>
      </c>
      <c r="E788" s="3" t="s">
        <v>707</v>
      </c>
      <c r="F788" s="3" t="s">
        <v>19</v>
      </c>
      <c r="G788" s="4">
        <v>0</v>
      </c>
      <c r="H788" s="4">
        <v>41830012</v>
      </c>
      <c r="I788" s="3" t="s">
        <v>417</v>
      </c>
      <c r="J788" s="4">
        <v>24</v>
      </c>
      <c r="K788" s="3" t="s">
        <v>21</v>
      </c>
      <c r="L788" s="4">
        <v>3960000</v>
      </c>
      <c r="M788" s="1">
        <f>O788*J788*K788</f>
        <v>0</v>
      </c>
      <c r="N788" s="3"/>
      <c r="O788" s="2">
        <f>L788/J788*(1-K788)</f>
        <v>165000</v>
      </c>
    </row>
    <row r="789" ht="14.25">
      <c r="A789" s="3" t="s">
        <v>254</v>
      </c>
      <c r="B789" s="3" t="s">
        <v>705</v>
      </c>
      <c r="C789" s="3" t="s">
        <v>706</v>
      </c>
      <c r="D789" s="3" t="s">
        <v>17</v>
      </c>
      <c r="E789" s="3" t="s">
        <v>707</v>
      </c>
      <c r="F789" s="3" t="s">
        <v>19</v>
      </c>
      <c r="G789" s="4">
        <v>0</v>
      </c>
      <c r="H789" s="4">
        <v>41830012</v>
      </c>
      <c r="I789" s="3" t="s">
        <v>400</v>
      </c>
      <c r="J789" s="4">
        <v>20</v>
      </c>
      <c r="K789" s="3" t="s">
        <v>21</v>
      </c>
      <c r="L789" s="4">
        <v>6600000</v>
      </c>
      <c r="M789" s="1">
        <f>O789*J789*K789</f>
        <v>0</v>
      </c>
      <c r="N789" s="3"/>
      <c r="O789" s="2">
        <f>L789/J789*(1-K789)</f>
        <v>330000</v>
      </c>
    </row>
    <row r="790" ht="14.25">
      <c r="A790" s="3" t="s">
        <v>254</v>
      </c>
      <c r="B790" s="3" t="s">
        <v>705</v>
      </c>
      <c r="C790" s="3" t="s">
        <v>706</v>
      </c>
      <c r="D790" s="3" t="s">
        <v>17</v>
      </c>
      <c r="E790" s="3" t="s">
        <v>707</v>
      </c>
      <c r="F790" s="3" t="s">
        <v>19</v>
      </c>
      <c r="G790" s="4">
        <v>0</v>
      </c>
      <c r="H790" s="4">
        <v>41830012</v>
      </c>
      <c r="I790" s="3" t="s">
        <v>504</v>
      </c>
      <c r="J790" s="4">
        <v>36</v>
      </c>
      <c r="K790" s="3" t="s">
        <v>21</v>
      </c>
      <c r="L790" s="4">
        <v>4920012</v>
      </c>
      <c r="M790" s="1">
        <f>O790*J790*K790</f>
        <v>0</v>
      </c>
      <c r="N790" s="3"/>
      <c r="O790" s="2">
        <f>L790/J790*(1-K790)</f>
        <v>136667</v>
      </c>
    </row>
    <row r="791" ht="14.25">
      <c r="A791" s="3" t="s">
        <v>254</v>
      </c>
      <c r="B791" s="3" t="s">
        <v>705</v>
      </c>
      <c r="C791" s="3" t="s">
        <v>708</v>
      </c>
      <c r="D791" s="3" t="s">
        <v>159</v>
      </c>
      <c r="E791" s="3" t="s">
        <v>221</v>
      </c>
      <c r="F791" s="3" t="s">
        <v>19</v>
      </c>
      <c r="G791" s="4">
        <v>19140000</v>
      </c>
      <c r="H791" s="4">
        <v>39140000</v>
      </c>
      <c r="I791" s="3" t="s">
        <v>61</v>
      </c>
      <c r="J791" s="4">
        <v>2</v>
      </c>
      <c r="K791" s="3" t="s">
        <v>21</v>
      </c>
      <c r="L791" s="4">
        <v>10400000</v>
      </c>
      <c r="M791" s="1">
        <f>O791*J791*K791</f>
        <v>0</v>
      </c>
      <c r="N791" s="3"/>
      <c r="O791" s="2">
        <f>L791/J791*(1-K791)</f>
        <v>5200000</v>
      </c>
    </row>
    <row r="792" ht="14.25">
      <c r="A792" s="3" t="s">
        <v>254</v>
      </c>
      <c r="B792" s="3" t="s">
        <v>705</v>
      </c>
      <c r="C792" s="3" t="s">
        <v>708</v>
      </c>
      <c r="D792" s="3" t="s">
        <v>159</v>
      </c>
      <c r="E792" s="3" t="s">
        <v>221</v>
      </c>
      <c r="F792" s="3" t="s">
        <v>19</v>
      </c>
      <c r="G792" s="4">
        <v>19140000</v>
      </c>
      <c r="H792" s="4">
        <v>39140000</v>
      </c>
      <c r="I792" s="3" t="s">
        <v>545</v>
      </c>
      <c r="J792" s="4">
        <v>1</v>
      </c>
      <c r="K792" s="3" t="s">
        <v>21</v>
      </c>
      <c r="L792" s="4">
        <v>4500000</v>
      </c>
      <c r="M792" s="1">
        <f>O792*J792*K792</f>
        <v>0</v>
      </c>
      <c r="N792" s="3"/>
      <c r="O792" s="2">
        <f>L792/J792*(1-K792)</f>
        <v>4500000</v>
      </c>
    </row>
    <row r="793" ht="14.25">
      <c r="A793" s="3" t="s">
        <v>254</v>
      </c>
      <c r="B793" s="3" t="s">
        <v>705</v>
      </c>
      <c r="C793" s="3" t="s">
        <v>708</v>
      </c>
      <c r="D793" s="3" t="s">
        <v>159</v>
      </c>
      <c r="E793" s="3" t="s">
        <v>221</v>
      </c>
      <c r="F793" s="3" t="s">
        <v>19</v>
      </c>
      <c r="G793" s="4">
        <v>19140000</v>
      </c>
      <c r="H793" s="4">
        <v>39140000</v>
      </c>
      <c r="I793" s="3" t="s">
        <v>474</v>
      </c>
      <c r="J793" s="4">
        <v>20</v>
      </c>
      <c r="K793" s="3" t="s">
        <v>21</v>
      </c>
      <c r="L793" s="4">
        <v>6600000</v>
      </c>
      <c r="M793" s="1">
        <f>O793*J793*K793</f>
        <v>0</v>
      </c>
      <c r="N793" s="3"/>
      <c r="O793" s="2">
        <f>L793/J793*(1-K793)</f>
        <v>330000</v>
      </c>
    </row>
    <row r="794" ht="14.25">
      <c r="A794" s="3" t="s">
        <v>254</v>
      </c>
      <c r="B794" s="3" t="s">
        <v>705</v>
      </c>
      <c r="C794" s="3" t="s">
        <v>708</v>
      </c>
      <c r="D794" s="3" t="s">
        <v>159</v>
      </c>
      <c r="E794" s="3" t="s">
        <v>221</v>
      </c>
      <c r="F794" s="3" t="s">
        <v>19</v>
      </c>
      <c r="G794" s="4">
        <v>19140000</v>
      </c>
      <c r="H794" s="4">
        <v>39140000</v>
      </c>
      <c r="I794" s="3" t="s">
        <v>400</v>
      </c>
      <c r="J794" s="4">
        <v>30</v>
      </c>
      <c r="K794" s="3" t="s">
        <v>21</v>
      </c>
      <c r="L794" s="4">
        <v>9900000</v>
      </c>
      <c r="M794" s="1">
        <f>O794*J794*K794</f>
        <v>0</v>
      </c>
      <c r="N794" s="3"/>
      <c r="O794" s="2">
        <f>L794/J794*(1-K794)</f>
        <v>330000</v>
      </c>
    </row>
    <row r="795" ht="14.25">
      <c r="A795" s="3" t="s">
        <v>254</v>
      </c>
      <c r="B795" s="3" t="s">
        <v>705</v>
      </c>
      <c r="C795" s="3" t="s">
        <v>708</v>
      </c>
      <c r="D795" s="3" t="s">
        <v>159</v>
      </c>
      <c r="E795" s="3" t="s">
        <v>221</v>
      </c>
      <c r="F795" s="3" t="s">
        <v>19</v>
      </c>
      <c r="G795" s="4">
        <v>19140000</v>
      </c>
      <c r="H795" s="4">
        <v>39140000</v>
      </c>
      <c r="I795" s="3" t="s">
        <v>417</v>
      </c>
      <c r="J795" s="4">
        <v>40</v>
      </c>
      <c r="K795" s="3" t="s">
        <v>21</v>
      </c>
      <c r="L795" s="4">
        <v>6500000</v>
      </c>
      <c r="M795" s="1">
        <f>O795*J795*K795</f>
        <v>0</v>
      </c>
      <c r="N795" s="3"/>
      <c r="O795" s="2">
        <f>L795/J795*(1-K795)</f>
        <v>162500</v>
      </c>
    </row>
    <row r="796" ht="14.25">
      <c r="A796" s="3" t="s">
        <v>254</v>
      </c>
      <c r="B796" s="3" t="s">
        <v>705</v>
      </c>
      <c r="C796" s="3" t="s">
        <v>708</v>
      </c>
      <c r="D796" s="3" t="s">
        <v>159</v>
      </c>
      <c r="E796" s="3" t="s">
        <v>221</v>
      </c>
      <c r="F796" s="3" t="s">
        <v>19</v>
      </c>
      <c r="G796" s="4">
        <v>19140000</v>
      </c>
      <c r="H796" s="4">
        <v>39140000</v>
      </c>
      <c r="I796" s="3" t="s">
        <v>399</v>
      </c>
      <c r="J796" s="4">
        <v>4</v>
      </c>
      <c r="K796" s="3" t="s">
        <v>21</v>
      </c>
      <c r="L796" s="4">
        <v>1240000</v>
      </c>
      <c r="M796" s="1">
        <f>O796*J796*K796</f>
        <v>0</v>
      </c>
      <c r="N796" s="3"/>
      <c r="O796" s="2">
        <f>L796/J796*(1-K796)</f>
        <v>310000</v>
      </c>
    </row>
    <row r="797" ht="14.25">
      <c r="A797" s="3" t="s">
        <v>254</v>
      </c>
      <c r="B797" s="3" t="s">
        <v>386</v>
      </c>
      <c r="C797" s="3" t="s">
        <v>709</v>
      </c>
      <c r="D797" s="3" t="s">
        <v>17</v>
      </c>
      <c r="E797" s="3" t="s">
        <v>346</v>
      </c>
      <c r="F797" s="3" t="s">
        <v>19</v>
      </c>
      <c r="G797" s="4">
        <v>0</v>
      </c>
      <c r="H797" s="4">
        <v>68200000</v>
      </c>
      <c r="I797" s="3" t="s">
        <v>86</v>
      </c>
      <c r="J797" s="4">
        <v>10</v>
      </c>
      <c r="K797" s="3" t="s">
        <v>21</v>
      </c>
      <c r="L797" s="4">
        <v>51000000</v>
      </c>
      <c r="M797" s="1">
        <f>O797*J797*K797</f>
        <v>0</v>
      </c>
      <c r="N797" s="3"/>
      <c r="O797" s="2">
        <f>L797/J797*(1-K797)</f>
        <v>5100000</v>
      </c>
    </row>
    <row r="798" ht="14.25">
      <c r="A798" s="3" t="s">
        <v>254</v>
      </c>
      <c r="B798" s="3" t="s">
        <v>386</v>
      </c>
      <c r="C798" s="3" t="s">
        <v>709</v>
      </c>
      <c r="D798" s="3" t="s">
        <v>17</v>
      </c>
      <c r="E798" s="3" t="s">
        <v>346</v>
      </c>
      <c r="F798" s="3" t="s">
        <v>19</v>
      </c>
      <c r="G798" s="4">
        <v>0</v>
      </c>
      <c r="H798" s="4">
        <v>68200000</v>
      </c>
      <c r="I798" s="3" t="s">
        <v>105</v>
      </c>
      <c r="J798" s="4">
        <v>2</v>
      </c>
      <c r="K798" s="3" t="s">
        <v>21</v>
      </c>
      <c r="L798" s="4">
        <v>11200000</v>
      </c>
      <c r="M798" s="1">
        <f>O798*J798*K798</f>
        <v>0</v>
      </c>
      <c r="N798" s="3"/>
      <c r="O798" s="2">
        <f>L798/J798*(1-K798)</f>
        <v>5600000</v>
      </c>
    </row>
    <row r="799" ht="14.25">
      <c r="A799" s="3" t="s">
        <v>254</v>
      </c>
      <c r="B799" s="3" t="s">
        <v>386</v>
      </c>
      <c r="C799" s="3" t="s">
        <v>709</v>
      </c>
      <c r="D799" s="3" t="s">
        <v>17</v>
      </c>
      <c r="E799" s="3" t="s">
        <v>346</v>
      </c>
      <c r="F799" s="3" t="s">
        <v>19</v>
      </c>
      <c r="G799" s="4">
        <v>0</v>
      </c>
      <c r="H799" s="4">
        <v>68200000</v>
      </c>
      <c r="I799" s="3" t="s">
        <v>348</v>
      </c>
      <c r="J799" s="4">
        <v>1</v>
      </c>
      <c r="K799" s="3" t="s">
        <v>21</v>
      </c>
      <c r="L799" s="4">
        <v>6000000</v>
      </c>
      <c r="M799" s="1">
        <f>O799*J799*K799</f>
        <v>0</v>
      </c>
      <c r="N799" s="3"/>
      <c r="O799" s="2">
        <f>L799/J799*(1-K799)</f>
        <v>6000000</v>
      </c>
    </row>
    <row r="800" ht="14.25">
      <c r="A800" s="3" t="s">
        <v>254</v>
      </c>
      <c r="B800" s="3" t="s">
        <v>386</v>
      </c>
      <c r="C800" s="3" t="s">
        <v>710</v>
      </c>
      <c r="D800" s="3" t="s">
        <v>17</v>
      </c>
      <c r="E800" s="3" t="s">
        <v>704</v>
      </c>
      <c r="F800" s="3" t="s">
        <v>19</v>
      </c>
      <c r="G800" s="4">
        <v>0</v>
      </c>
      <c r="H800" s="4">
        <v>1608000</v>
      </c>
      <c r="I800" s="3" t="s">
        <v>299</v>
      </c>
      <c r="J800" s="4">
        <v>48</v>
      </c>
      <c r="K800" s="3" t="s">
        <v>21</v>
      </c>
      <c r="L800" s="4">
        <v>1608000</v>
      </c>
      <c r="M800" s="1">
        <f>O800*J800*K800</f>
        <v>0</v>
      </c>
      <c r="N800" s="3"/>
      <c r="O800" s="2">
        <f>L800/J800*(1-K800)</f>
        <v>33500</v>
      </c>
    </row>
    <row r="801" ht="14.25">
      <c r="A801" s="3" t="s">
        <v>254</v>
      </c>
      <c r="B801" s="3" t="s">
        <v>386</v>
      </c>
      <c r="C801" s="3" t="s">
        <v>711</v>
      </c>
      <c r="D801" s="3" t="s">
        <v>17</v>
      </c>
      <c r="E801" s="3" t="s">
        <v>23</v>
      </c>
      <c r="F801" s="3" t="s">
        <v>19</v>
      </c>
      <c r="G801" s="4">
        <v>0</v>
      </c>
      <c r="H801" s="4">
        <v>1390000</v>
      </c>
      <c r="I801" s="3" t="s">
        <v>283</v>
      </c>
      <c r="J801" s="4">
        <v>1</v>
      </c>
      <c r="K801" s="3" t="s">
        <v>21</v>
      </c>
      <c r="L801" s="4">
        <v>1390000</v>
      </c>
      <c r="M801" s="1">
        <f>O801*J801*K801</f>
        <v>0</v>
      </c>
      <c r="N801" s="3"/>
      <c r="O801" s="2">
        <f>L801/J801*(1-K801)</f>
        <v>1390000</v>
      </c>
    </row>
    <row r="802" ht="14.25">
      <c r="A802" s="3" t="s">
        <v>626</v>
      </c>
      <c r="B802" s="3" t="s">
        <v>712</v>
      </c>
      <c r="C802" s="3" t="s">
        <v>713</v>
      </c>
      <c r="D802" s="3" t="s">
        <v>17</v>
      </c>
      <c r="E802" s="3" t="s">
        <v>559</v>
      </c>
      <c r="F802" s="3" t="s">
        <v>19</v>
      </c>
      <c r="G802" s="4">
        <v>0</v>
      </c>
      <c r="H802" s="4">
        <v>20000000</v>
      </c>
      <c r="I802" s="3" t="s">
        <v>86</v>
      </c>
      <c r="J802" s="4">
        <v>4</v>
      </c>
      <c r="K802" s="3" t="s">
        <v>21</v>
      </c>
      <c r="L802" s="4">
        <v>20000000</v>
      </c>
      <c r="M802" s="1">
        <f>O802*J802*K802</f>
        <v>0</v>
      </c>
      <c r="N802" s="3"/>
      <c r="O802" s="2">
        <f>L802/J802*(1-K802)</f>
        <v>5000000</v>
      </c>
    </row>
    <row r="803" ht="14.25">
      <c r="A803" s="3" t="s">
        <v>626</v>
      </c>
      <c r="B803" s="3" t="s">
        <v>712</v>
      </c>
      <c r="C803" s="3" t="s">
        <v>714</v>
      </c>
      <c r="D803" s="3" t="s">
        <v>17</v>
      </c>
      <c r="E803" s="3" t="s">
        <v>715</v>
      </c>
      <c r="F803" s="3" t="s">
        <v>19</v>
      </c>
      <c r="G803" s="4">
        <v>0</v>
      </c>
      <c r="H803" s="4">
        <v>15200000</v>
      </c>
      <c r="I803" s="3" t="s">
        <v>82</v>
      </c>
      <c r="J803" s="4">
        <v>2</v>
      </c>
      <c r="K803" s="3" t="s">
        <v>21</v>
      </c>
      <c r="L803" s="4">
        <v>7600000</v>
      </c>
      <c r="M803" s="1">
        <f>O803*J803*K803</f>
        <v>0</v>
      </c>
      <c r="N803" s="3"/>
      <c r="O803" s="2">
        <f>L803/J803*(1-K803)</f>
        <v>3800000</v>
      </c>
    </row>
    <row r="804" ht="14.25">
      <c r="A804" s="3" t="s">
        <v>626</v>
      </c>
      <c r="B804" s="3" t="s">
        <v>712</v>
      </c>
      <c r="C804" s="3" t="s">
        <v>714</v>
      </c>
      <c r="D804" s="3" t="s">
        <v>17</v>
      </c>
      <c r="E804" s="3" t="s">
        <v>715</v>
      </c>
      <c r="F804" s="3" t="s">
        <v>19</v>
      </c>
      <c r="G804" s="4">
        <v>0</v>
      </c>
      <c r="H804" s="4">
        <v>15200000</v>
      </c>
      <c r="I804" s="3" t="s">
        <v>35</v>
      </c>
      <c r="J804" s="4">
        <v>2</v>
      </c>
      <c r="K804" s="3" t="s">
        <v>21</v>
      </c>
      <c r="L804" s="4">
        <v>7600000</v>
      </c>
      <c r="M804" s="1">
        <f>O804*J804*K804</f>
        <v>0</v>
      </c>
      <c r="N804" s="3"/>
      <c r="O804" s="2">
        <f>L804/J804*(1-K804)</f>
        <v>3800000</v>
      </c>
    </row>
    <row r="805" ht="14.25">
      <c r="A805" s="3" t="s">
        <v>626</v>
      </c>
      <c r="B805" s="3" t="s">
        <v>716</v>
      </c>
      <c r="C805" s="3" t="s">
        <v>717</v>
      </c>
      <c r="D805" s="3" t="s">
        <v>17</v>
      </c>
      <c r="E805" s="3" t="s">
        <v>43</v>
      </c>
      <c r="F805" s="3" t="s">
        <v>19</v>
      </c>
      <c r="G805" s="4">
        <v>0</v>
      </c>
      <c r="H805" s="4">
        <v>15042816</v>
      </c>
      <c r="I805" s="3" t="s">
        <v>44</v>
      </c>
      <c r="J805" s="4">
        <v>72</v>
      </c>
      <c r="K805" s="3" t="s">
        <v>21</v>
      </c>
      <c r="L805" s="4">
        <v>2304000</v>
      </c>
      <c r="M805" s="1">
        <f>O805*J805*K805</f>
        <v>0</v>
      </c>
      <c r="N805" s="3"/>
      <c r="O805" s="2">
        <f>L805/J805*(1-K805)</f>
        <v>32000</v>
      </c>
    </row>
    <row r="806" ht="14.25">
      <c r="A806" s="3" t="s">
        <v>626</v>
      </c>
      <c r="B806" s="3" t="s">
        <v>716</v>
      </c>
      <c r="C806" s="3" t="s">
        <v>717</v>
      </c>
      <c r="D806" s="3" t="s">
        <v>17</v>
      </c>
      <c r="E806" s="3" t="s">
        <v>43</v>
      </c>
      <c r="F806" s="3" t="s">
        <v>19</v>
      </c>
      <c r="G806" s="4">
        <v>0</v>
      </c>
      <c r="H806" s="4">
        <v>15042816</v>
      </c>
      <c r="I806" s="3" t="s">
        <v>419</v>
      </c>
      <c r="J806" s="4">
        <v>72</v>
      </c>
      <c r="K806" s="3" t="s">
        <v>21</v>
      </c>
      <c r="L806" s="4">
        <v>2616768</v>
      </c>
      <c r="M806" s="1">
        <f>O806*J806*K806</f>
        <v>0</v>
      </c>
      <c r="N806" s="3"/>
      <c r="O806" s="2">
        <f>L806/J806*(1-K806)</f>
        <v>36344</v>
      </c>
    </row>
    <row r="807" ht="14.25">
      <c r="A807" s="3" t="s">
        <v>626</v>
      </c>
      <c r="B807" s="3" t="s">
        <v>716</v>
      </c>
      <c r="C807" s="3" t="s">
        <v>717</v>
      </c>
      <c r="D807" s="3" t="s">
        <v>17</v>
      </c>
      <c r="E807" s="3" t="s">
        <v>43</v>
      </c>
      <c r="F807" s="3" t="s">
        <v>19</v>
      </c>
      <c r="G807" s="4">
        <v>0</v>
      </c>
      <c r="H807" s="4">
        <v>15042816</v>
      </c>
      <c r="I807" s="3" t="s">
        <v>46</v>
      </c>
      <c r="J807" s="4">
        <v>24</v>
      </c>
      <c r="K807" s="3" t="s">
        <v>21</v>
      </c>
      <c r="L807" s="4">
        <v>850008</v>
      </c>
      <c r="M807" s="1">
        <f>O807*J807*K807</f>
        <v>0</v>
      </c>
      <c r="N807" s="3"/>
      <c r="O807" s="2">
        <f>L807/J807*(1-K807)</f>
        <v>35417</v>
      </c>
    </row>
    <row r="808" ht="14.25">
      <c r="A808" s="3" t="s">
        <v>626</v>
      </c>
      <c r="B808" s="3" t="s">
        <v>716</v>
      </c>
      <c r="C808" s="3" t="s">
        <v>717</v>
      </c>
      <c r="D808" s="3" t="s">
        <v>17</v>
      </c>
      <c r="E808" s="3" t="s">
        <v>43</v>
      </c>
      <c r="F808" s="3" t="s">
        <v>19</v>
      </c>
      <c r="G808" s="4">
        <v>0</v>
      </c>
      <c r="H808" s="4">
        <v>15042816</v>
      </c>
      <c r="I808" s="3" t="s">
        <v>517</v>
      </c>
      <c r="J808" s="4">
        <v>24</v>
      </c>
      <c r="K808" s="3" t="s">
        <v>21</v>
      </c>
      <c r="L808" s="4">
        <v>1159992</v>
      </c>
      <c r="M808" s="1">
        <f>O808*J808*K808</f>
        <v>0</v>
      </c>
      <c r="N808" s="3"/>
      <c r="O808" s="2">
        <f>L808/J808*(1-K808)</f>
        <v>48333</v>
      </c>
    </row>
    <row r="809" ht="14.25">
      <c r="A809" s="3" t="s">
        <v>626</v>
      </c>
      <c r="B809" s="3" t="s">
        <v>716</v>
      </c>
      <c r="C809" s="3" t="s">
        <v>717</v>
      </c>
      <c r="D809" s="3" t="s">
        <v>17</v>
      </c>
      <c r="E809" s="3" t="s">
        <v>43</v>
      </c>
      <c r="F809" s="3" t="s">
        <v>19</v>
      </c>
      <c r="G809" s="4">
        <v>0</v>
      </c>
      <c r="H809" s="4">
        <v>15042816</v>
      </c>
      <c r="I809" s="3" t="s">
        <v>423</v>
      </c>
      <c r="J809" s="4">
        <v>40</v>
      </c>
      <c r="K809" s="3" t="s">
        <v>21</v>
      </c>
      <c r="L809" s="4">
        <v>1410000</v>
      </c>
      <c r="M809" s="1">
        <f>O809*J809*K809</f>
        <v>0</v>
      </c>
      <c r="N809" s="3"/>
      <c r="O809" s="2">
        <f>L809/J809*(1-K809)</f>
        <v>35250</v>
      </c>
    </row>
    <row r="810" ht="14.25">
      <c r="A810" s="3" t="s">
        <v>626</v>
      </c>
      <c r="B810" s="3" t="s">
        <v>716</v>
      </c>
      <c r="C810" s="3" t="s">
        <v>717</v>
      </c>
      <c r="D810" s="3" t="s">
        <v>17</v>
      </c>
      <c r="E810" s="3" t="s">
        <v>43</v>
      </c>
      <c r="F810" s="3" t="s">
        <v>19</v>
      </c>
      <c r="G810" s="4">
        <v>0</v>
      </c>
      <c r="H810" s="4">
        <v>15042816</v>
      </c>
      <c r="I810" s="3" t="s">
        <v>424</v>
      </c>
      <c r="J810" s="4">
        <v>48</v>
      </c>
      <c r="K810" s="3" t="s">
        <v>21</v>
      </c>
      <c r="L810" s="4">
        <v>1449984</v>
      </c>
      <c r="M810" s="1">
        <f>O810*J810*K810</f>
        <v>0</v>
      </c>
      <c r="N810" s="3"/>
      <c r="O810" s="2">
        <f>L810/J810*(1-K810)</f>
        <v>30208</v>
      </c>
    </row>
    <row r="811" ht="14.25">
      <c r="A811" s="3" t="s">
        <v>626</v>
      </c>
      <c r="B811" s="3" t="s">
        <v>716</v>
      </c>
      <c r="C811" s="3" t="s">
        <v>717</v>
      </c>
      <c r="D811" s="3" t="s">
        <v>17</v>
      </c>
      <c r="E811" s="3" t="s">
        <v>43</v>
      </c>
      <c r="F811" s="3" t="s">
        <v>19</v>
      </c>
      <c r="G811" s="4">
        <v>0</v>
      </c>
      <c r="H811" s="4">
        <v>15042816</v>
      </c>
      <c r="I811" s="3" t="s">
        <v>47</v>
      </c>
      <c r="J811" s="4">
        <v>72</v>
      </c>
      <c r="K811" s="3" t="s">
        <v>21</v>
      </c>
      <c r="L811" s="4">
        <v>2688048</v>
      </c>
      <c r="M811" s="1">
        <f>O811*J811*K811</f>
        <v>0</v>
      </c>
      <c r="N811" s="3"/>
      <c r="O811" s="2">
        <f>L811/J811*(1-K811)</f>
        <v>37334</v>
      </c>
    </row>
    <row r="812" ht="14.25">
      <c r="A812" s="3" t="s">
        <v>626</v>
      </c>
      <c r="B812" s="3" t="s">
        <v>716</v>
      </c>
      <c r="C812" s="3" t="s">
        <v>717</v>
      </c>
      <c r="D812" s="3" t="s">
        <v>17</v>
      </c>
      <c r="E812" s="3" t="s">
        <v>43</v>
      </c>
      <c r="F812" s="3" t="s">
        <v>19</v>
      </c>
      <c r="G812" s="4">
        <v>0</v>
      </c>
      <c r="H812" s="4">
        <v>15042816</v>
      </c>
      <c r="I812" s="3" t="s">
        <v>367</v>
      </c>
      <c r="J812" s="4">
        <v>24</v>
      </c>
      <c r="K812" s="3" t="s">
        <v>21</v>
      </c>
      <c r="L812" s="4">
        <v>944016</v>
      </c>
      <c r="M812" s="1">
        <f>O812*J812*K812</f>
        <v>0</v>
      </c>
      <c r="N812" s="3"/>
      <c r="O812" s="2">
        <f>L812/J812*(1-K812)</f>
        <v>39334</v>
      </c>
    </row>
    <row r="813" ht="14.25">
      <c r="A813" s="3" t="s">
        <v>626</v>
      </c>
      <c r="B813" s="3" t="s">
        <v>716</v>
      </c>
      <c r="C813" s="3" t="s">
        <v>717</v>
      </c>
      <c r="D813" s="3" t="s">
        <v>17</v>
      </c>
      <c r="E813" s="3" t="s">
        <v>43</v>
      </c>
      <c r="F813" s="3" t="s">
        <v>19</v>
      </c>
      <c r="G813" s="4">
        <v>0</v>
      </c>
      <c r="H813" s="4">
        <v>15042816</v>
      </c>
      <c r="I813" s="3" t="s">
        <v>32</v>
      </c>
      <c r="J813" s="4">
        <v>72</v>
      </c>
      <c r="K813" s="3" t="s">
        <v>21</v>
      </c>
      <c r="L813" s="4">
        <v>1620000</v>
      </c>
      <c r="M813" s="1">
        <f>O813*J813*K813</f>
        <v>0</v>
      </c>
      <c r="N813" s="3"/>
      <c r="O813" s="2">
        <f>L813/J813*(1-K813)</f>
        <v>22500</v>
      </c>
    </row>
    <row r="814" ht="14.25">
      <c r="A814" s="3" t="s">
        <v>626</v>
      </c>
      <c r="B814" s="3" t="s">
        <v>712</v>
      </c>
      <c r="C814" s="3" t="s">
        <v>718</v>
      </c>
      <c r="D814" s="3" t="s">
        <v>17</v>
      </c>
      <c r="E814" s="3" t="s">
        <v>360</v>
      </c>
      <c r="F814" s="3" t="s">
        <v>19</v>
      </c>
      <c r="G814" s="4">
        <v>0</v>
      </c>
      <c r="H814" s="4">
        <v>1080000</v>
      </c>
      <c r="I814" s="3" t="s">
        <v>32</v>
      </c>
      <c r="J814" s="4">
        <v>48</v>
      </c>
      <c r="K814" s="3" t="s">
        <v>21</v>
      </c>
      <c r="L814" s="4">
        <v>1080000</v>
      </c>
      <c r="M814" s="1">
        <f>O814*J814*K814</f>
        <v>0</v>
      </c>
      <c r="N814" s="3"/>
      <c r="O814" s="2">
        <f>L814/J814*(1-K814)</f>
        <v>22500</v>
      </c>
    </row>
    <row r="815" ht="14.25">
      <c r="A815" s="3" t="s">
        <v>626</v>
      </c>
      <c r="B815" s="3" t="s">
        <v>626</v>
      </c>
      <c r="C815" s="3" t="s">
        <v>719</v>
      </c>
      <c r="D815" s="3" t="s">
        <v>17</v>
      </c>
      <c r="E815" s="3" t="s">
        <v>720</v>
      </c>
      <c r="F815" s="3" t="s">
        <v>19</v>
      </c>
      <c r="G815" s="4">
        <v>0</v>
      </c>
      <c r="H815" s="4">
        <v>600000</v>
      </c>
      <c r="I815" s="3" t="s">
        <v>29</v>
      </c>
      <c r="J815" s="4">
        <v>1</v>
      </c>
      <c r="K815" s="3" t="s">
        <v>21</v>
      </c>
      <c r="L815" s="4">
        <v>600000</v>
      </c>
      <c r="M815" s="1">
        <f>O815*J815*K815</f>
        <v>0</v>
      </c>
      <c r="N815" s="3"/>
      <c r="O815" s="2">
        <f>L815/J815*(1-K815)</f>
        <v>600000</v>
      </c>
    </row>
    <row r="816" ht="14.25">
      <c r="A816" s="3" t="s">
        <v>269</v>
      </c>
      <c r="B816" s="3" t="s">
        <v>269</v>
      </c>
      <c r="C816" s="3" t="s">
        <v>721</v>
      </c>
      <c r="D816" s="3" t="s">
        <v>17</v>
      </c>
      <c r="E816" s="3" t="s">
        <v>360</v>
      </c>
      <c r="F816" s="3" t="s">
        <v>19</v>
      </c>
      <c r="G816" s="4">
        <v>0</v>
      </c>
      <c r="H816" s="4">
        <v>1092000</v>
      </c>
      <c r="I816" s="3" t="s">
        <v>32</v>
      </c>
      <c r="J816" s="4">
        <v>24</v>
      </c>
      <c r="K816" s="3" t="s">
        <v>21</v>
      </c>
      <c r="L816" s="4">
        <v>540000</v>
      </c>
      <c r="M816" s="1">
        <f>O816*J816*K816</f>
        <v>0</v>
      </c>
      <c r="N816" s="3"/>
      <c r="O816" s="2">
        <f>L816/J816*(1-K816)</f>
        <v>22500</v>
      </c>
    </row>
    <row r="817" ht="14.25">
      <c r="A817" s="3" t="s">
        <v>269</v>
      </c>
      <c r="B817" s="3" t="s">
        <v>269</v>
      </c>
      <c r="C817" s="3" t="s">
        <v>721</v>
      </c>
      <c r="D817" s="3" t="s">
        <v>17</v>
      </c>
      <c r="E817" s="3" t="s">
        <v>360</v>
      </c>
      <c r="F817" s="3" t="s">
        <v>19</v>
      </c>
      <c r="G817" s="4">
        <v>0</v>
      </c>
      <c r="H817" s="4">
        <v>1092000</v>
      </c>
      <c r="I817" s="3" t="s">
        <v>108</v>
      </c>
      <c r="J817" s="4">
        <v>24</v>
      </c>
      <c r="K817" s="3" t="s">
        <v>21</v>
      </c>
      <c r="L817" s="4">
        <v>552000</v>
      </c>
      <c r="M817" s="1">
        <f>O817*J817*K817</f>
        <v>0</v>
      </c>
      <c r="N817" s="3"/>
      <c r="O817" s="2">
        <f>L817/J817*(1-K817)</f>
        <v>23000</v>
      </c>
    </row>
    <row r="818" ht="14.25">
      <c r="A818" s="3" t="s">
        <v>269</v>
      </c>
      <c r="B818" s="3" t="s">
        <v>722</v>
      </c>
      <c r="C818" s="3" t="s">
        <v>723</v>
      </c>
      <c r="D818" s="3" t="s">
        <v>17</v>
      </c>
      <c r="E818" s="3" t="s">
        <v>724</v>
      </c>
      <c r="F818" s="3" t="s">
        <v>19</v>
      </c>
      <c r="G818" s="4">
        <v>0</v>
      </c>
      <c r="H818" s="4">
        <v>6900000</v>
      </c>
      <c r="I818" s="3" t="s">
        <v>39</v>
      </c>
      <c r="J818" s="4">
        <v>1</v>
      </c>
      <c r="K818" s="3" t="s">
        <v>21</v>
      </c>
      <c r="L818" s="4">
        <v>3700000</v>
      </c>
      <c r="M818" s="1">
        <f>O818*J818*K818</f>
        <v>0</v>
      </c>
      <c r="N818" s="3"/>
      <c r="O818" s="2">
        <f>L818/J818*(1-K818)</f>
        <v>3700000</v>
      </c>
    </row>
    <row r="819" ht="14.25">
      <c r="A819" s="3" t="s">
        <v>269</v>
      </c>
      <c r="B819" s="3" t="s">
        <v>722</v>
      </c>
      <c r="C819" s="3" t="s">
        <v>723</v>
      </c>
      <c r="D819" s="3" t="s">
        <v>17</v>
      </c>
      <c r="E819" s="3" t="s">
        <v>724</v>
      </c>
      <c r="F819" s="3" t="s">
        <v>19</v>
      </c>
      <c r="G819" s="4">
        <v>0</v>
      </c>
      <c r="H819" s="4">
        <v>6900000</v>
      </c>
      <c r="I819" s="3" t="s">
        <v>378</v>
      </c>
      <c r="J819" s="4">
        <v>1</v>
      </c>
      <c r="K819" s="3" t="s">
        <v>21</v>
      </c>
      <c r="L819" s="4">
        <v>3200000</v>
      </c>
      <c r="M819" s="1">
        <f>O819*J819*K819</f>
        <v>0</v>
      </c>
      <c r="N819" s="3"/>
      <c r="O819" s="2">
        <f>L819/J819*(1-K819)</f>
        <v>3200000</v>
      </c>
    </row>
    <row r="820" ht="14.25">
      <c r="A820" s="3" t="s">
        <v>269</v>
      </c>
      <c r="B820" s="3" t="s">
        <v>722</v>
      </c>
      <c r="C820" s="3" t="s">
        <v>725</v>
      </c>
      <c r="D820" s="3" t="s">
        <v>17</v>
      </c>
      <c r="E820" s="3" t="s">
        <v>726</v>
      </c>
      <c r="F820" s="3" t="s">
        <v>19</v>
      </c>
      <c r="G820" s="4">
        <v>0</v>
      </c>
      <c r="H820" s="4">
        <v>7350000</v>
      </c>
      <c r="I820" s="3" t="s">
        <v>29</v>
      </c>
      <c r="J820" s="4">
        <v>15</v>
      </c>
      <c r="K820" s="3" t="s">
        <v>21</v>
      </c>
      <c r="L820" s="4">
        <v>7350000</v>
      </c>
      <c r="M820" s="1">
        <f>O820*J820*K820</f>
        <v>0</v>
      </c>
      <c r="N820" s="3"/>
      <c r="O820" s="2">
        <f>L820/J820*(1-K820)</f>
        <v>490000</v>
      </c>
    </row>
    <row r="821" ht="14.25">
      <c r="A821" s="3" t="s">
        <v>269</v>
      </c>
      <c r="B821" s="3" t="s">
        <v>396</v>
      </c>
      <c r="C821" s="3" t="s">
        <v>727</v>
      </c>
      <c r="D821" s="3" t="s">
        <v>17</v>
      </c>
      <c r="E821" s="3" t="s">
        <v>513</v>
      </c>
      <c r="F821" s="3" t="s">
        <v>19</v>
      </c>
      <c r="G821" s="4">
        <v>0</v>
      </c>
      <c r="H821" s="4">
        <v>9335108</v>
      </c>
      <c r="I821" s="3" t="s">
        <v>38</v>
      </c>
      <c r="J821" s="4">
        <v>12</v>
      </c>
      <c r="K821" s="3" t="s">
        <v>21</v>
      </c>
      <c r="L821" s="4">
        <v>1909704</v>
      </c>
      <c r="M821" s="1">
        <f>O821*J821*K821</f>
        <v>0</v>
      </c>
      <c r="N821" s="3"/>
      <c r="O821" s="2">
        <f>L821/J821*(1-K821)</f>
        <v>159142</v>
      </c>
    </row>
    <row r="822" ht="14.25">
      <c r="A822" s="3" t="s">
        <v>269</v>
      </c>
      <c r="B822" s="3" t="s">
        <v>396</v>
      </c>
      <c r="C822" s="3" t="s">
        <v>727</v>
      </c>
      <c r="D822" s="3" t="s">
        <v>17</v>
      </c>
      <c r="E822" s="3" t="s">
        <v>513</v>
      </c>
      <c r="F822" s="3" t="s">
        <v>19</v>
      </c>
      <c r="G822" s="4">
        <v>0</v>
      </c>
      <c r="H822" s="4">
        <v>9335108</v>
      </c>
      <c r="I822" s="3" t="s">
        <v>66</v>
      </c>
      <c r="J822" s="4">
        <v>4</v>
      </c>
      <c r="K822" s="3" t="s">
        <v>21</v>
      </c>
      <c r="L822" s="4">
        <v>1675456</v>
      </c>
      <c r="M822" s="1">
        <f>O822*J822*K822</f>
        <v>0</v>
      </c>
      <c r="N822" s="3"/>
      <c r="O822" s="2">
        <f>L822/J822*(1-K822)</f>
        <v>418864</v>
      </c>
    </row>
    <row r="823" ht="14.25">
      <c r="A823" s="3" t="s">
        <v>269</v>
      </c>
      <c r="B823" s="3" t="s">
        <v>396</v>
      </c>
      <c r="C823" s="3" t="s">
        <v>727</v>
      </c>
      <c r="D823" s="3" t="s">
        <v>17</v>
      </c>
      <c r="E823" s="3" t="s">
        <v>513</v>
      </c>
      <c r="F823" s="3" t="s">
        <v>19</v>
      </c>
      <c r="G823" s="4">
        <v>0</v>
      </c>
      <c r="H823" s="4">
        <v>9335108</v>
      </c>
      <c r="I823" s="3" t="s">
        <v>125</v>
      </c>
      <c r="J823" s="4">
        <v>6</v>
      </c>
      <c r="K823" s="3" t="s">
        <v>21</v>
      </c>
      <c r="L823" s="4">
        <v>1493832</v>
      </c>
      <c r="M823" s="1">
        <f>O823*J823*K823</f>
        <v>0</v>
      </c>
      <c r="N823" s="3"/>
      <c r="O823" s="2">
        <f>L823/J823*(1-K823)</f>
        <v>248972</v>
      </c>
    </row>
    <row r="824" ht="14.25">
      <c r="A824" s="3" t="s">
        <v>269</v>
      </c>
      <c r="B824" s="3" t="s">
        <v>396</v>
      </c>
      <c r="C824" s="3" t="s">
        <v>727</v>
      </c>
      <c r="D824" s="3" t="s">
        <v>17</v>
      </c>
      <c r="E824" s="3" t="s">
        <v>513</v>
      </c>
      <c r="F824" s="3" t="s">
        <v>19</v>
      </c>
      <c r="G824" s="4">
        <v>0</v>
      </c>
      <c r="H824" s="4">
        <v>9335108</v>
      </c>
      <c r="I824" s="3" t="s">
        <v>188</v>
      </c>
      <c r="J824" s="4">
        <v>8</v>
      </c>
      <c r="K824" s="3" t="s">
        <v>21</v>
      </c>
      <c r="L824" s="4">
        <v>2035280</v>
      </c>
      <c r="M824" s="1">
        <f>O824*J824*K824</f>
        <v>0</v>
      </c>
      <c r="N824" s="3"/>
      <c r="O824" s="2">
        <f>L824/J824*(1-K824)</f>
        <v>254410</v>
      </c>
    </row>
    <row r="825" ht="14.25">
      <c r="A825" s="3" t="s">
        <v>269</v>
      </c>
      <c r="B825" s="3" t="s">
        <v>396</v>
      </c>
      <c r="C825" s="3" t="s">
        <v>727</v>
      </c>
      <c r="D825" s="3" t="s">
        <v>17</v>
      </c>
      <c r="E825" s="3" t="s">
        <v>513</v>
      </c>
      <c r="F825" s="3" t="s">
        <v>19</v>
      </c>
      <c r="G825" s="4">
        <v>0</v>
      </c>
      <c r="H825" s="4">
        <v>9335108</v>
      </c>
      <c r="I825" s="3" t="s">
        <v>182</v>
      </c>
      <c r="J825" s="4">
        <v>4</v>
      </c>
      <c r="K825" s="3" t="s">
        <v>21</v>
      </c>
      <c r="L825" s="4">
        <v>1324580</v>
      </c>
      <c r="M825" s="1">
        <f>O825*J825*K825</f>
        <v>0</v>
      </c>
      <c r="N825" s="3"/>
      <c r="O825" s="2">
        <f>L825/J825*(1-K825)</f>
        <v>331145</v>
      </c>
    </row>
    <row r="826" ht="14.25">
      <c r="A826" s="3" t="s">
        <v>269</v>
      </c>
      <c r="B826" s="3" t="s">
        <v>396</v>
      </c>
      <c r="C826" s="3" t="s">
        <v>727</v>
      </c>
      <c r="D826" s="3" t="s">
        <v>17</v>
      </c>
      <c r="E826" s="3" t="s">
        <v>513</v>
      </c>
      <c r="F826" s="3" t="s">
        <v>19</v>
      </c>
      <c r="G826" s="4">
        <v>0</v>
      </c>
      <c r="H826" s="4">
        <v>9335108</v>
      </c>
      <c r="I826" s="3" t="s">
        <v>111</v>
      </c>
      <c r="J826" s="4">
        <v>24</v>
      </c>
      <c r="K826" s="3" t="s">
        <v>21</v>
      </c>
      <c r="L826" s="4">
        <v>896256</v>
      </c>
      <c r="M826" s="1">
        <f>O826*J826*K826</f>
        <v>0</v>
      </c>
      <c r="N826" s="3"/>
      <c r="O826" s="2">
        <f>L826/J826*(1-K826)</f>
        <v>37344</v>
      </c>
    </row>
    <row r="827" ht="14.25">
      <c r="A827" s="3" t="s">
        <v>269</v>
      </c>
      <c r="B827" s="3" t="s">
        <v>722</v>
      </c>
      <c r="C827" s="3" t="s">
        <v>728</v>
      </c>
      <c r="D827" s="3" t="s">
        <v>17</v>
      </c>
      <c r="E827" s="3" t="s">
        <v>312</v>
      </c>
      <c r="F827" s="3" t="s">
        <v>19</v>
      </c>
      <c r="G827" s="4">
        <v>0</v>
      </c>
      <c r="H827" s="4">
        <v>28697640</v>
      </c>
      <c r="I827" s="3" t="s">
        <v>452</v>
      </c>
      <c r="J827" s="4">
        <v>120</v>
      </c>
      <c r="K827" s="3" t="s">
        <v>729</v>
      </c>
      <c r="L827" s="4">
        <v>24576000</v>
      </c>
      <c r="M827" s="1">
        <f>O827*J827*K827</f>
        <v>2405990.3999999999</v>
      </c>
      <c r="N827" s="3"/>
      <c r="O827" s="2">
        <f>L827/J827*(1-K827)</f>
        <v>182272</v>
      </c>
    </row>
    <row r="828" ht="14.25">
      <c r="A828" s="3" t="s">
        <v>269</v>
      </c>
      <c r="B828" s="3" t="s">
        <v>722</v>
      </c>
      <c r="C828" s="3" t="s">
        <v>728</v>
      </c>
      <c r="D828" s="3" t="s">
        <v>17</v>
      </c>
      <c r="E828" s="3" t="s">
        <v>312</v>
      </c>
      <c r="F828" s="3" t="s">
        <v>19</v>
      </c>
      <c r="G828" s="4">
        <v>0</v>
      </c>
      <c r="H828" s="4">
        <v>28697640</v>
      </c>
      <c r="I828" s="3" t="s">
        <v>283</v>
      </c>
      <c r="J828" s="4">
        <v>5</v>
      </c>
      <c r="K828" s="3" t="s">
        <v>21</v>
      </c>
      <c r="L828" s="4">
        <v>6825000</v>
      </c>
      <c r="M828" s="1">
        <f>O828*J828*K828</f>
        <v>0</v>
      </c>
      <c r="N828" s="3"/>
      <c r="O828" s="2">
        <f>L828/J828*(1-K828)</f>
        <v>1365000</v>
      </c>
    </row>
    <row r="829" ht="14.25">
      <c r="A829" s="3" t="s">
        <v>269</v>
      </c>
      <c r="B829" s="3" t="s">
        <v>722</v>
      </c>
      <c r="C829" s="3" t="s">
        <v>730</v>
      </c>
      <c r="D829" s="3" t="s">
        <v>17</v>
      </c>
      <c r="E829" s="3" t="s">
        <v>312</v>
      </c>
      <c r="F829" s="3" t="s">
        <v>19</v>
      </c>
      <c r="G829" s="4">
        <v>0</v>
      </c>
      <c r="H829" s="4">
        <v>50000000</v>
      </c>
      <c r="I829" s="3" t="s">
        <v>731</v>
      </c>
      <c r="J829" s="4">
        <v>87</v>
      </c>
      <c r="K829" s="3" t="s">
        <v>21</v>
      </c>
      <c r="L829" s="4">
        <v>43500000</v>
      </c>
      <c r="M829" s="1">
        <f>O829*J829*K829</f>
        <v>0</v>
      </c>
      <c r="N829" s="3"/>
      <c r="O829" s="2">
        <f>L829/J829*(1-K829)</f>
        <v>500000</v>
      </c>
    </row>
    <row r="830" ht="14.25">
      <c r="A830" s="3" t="s">
        <v>269</v>
      </c>
      <c r="B830" s="3" t="s">
        <v>722</v>
      </c>
      <c r="C830" s="3" t="s">
        <v>730</v>
      </c>
      <c r="D830" s="3" t="s">
        <v>17</v>
      </c>
      <c r="E830" s="3" t="s">
        <v>312</v>
      </c>
      <c r="F830" s="3" t="s">
        <v>19</v>
      </c>
      <c r="G830" s="4">
        <v>0</v>
      </c>
      <c r="H830" s="4">
        <v>50000000</v>
      </c>
      <c r="I830" s="3" t="s">
        <v>732</v>
      </c>
      <c r="J830" s="4">
        <v>13</v>
      </c>
      <c r="K830" s="3" t="s">
        <v>21</v>
      </c>
      <c r="L830" s="4">
        <v>6500000</v>
      </c>
      <c r="M830" s="1">
        <f>O830*J830*K830</f>
        <v>0</v>
      </c>
      <c r="N830" s="3"/>
      <c r="O830" s="2">
        <f>L830/J830*(1-K830)</f>
        <v>500000</v>
      </c>
    </row>
    <row r="831" ht="14.25">
      <c r="A831" s="3" t="s">
        <v>269</v>
      </c>
      <c r="B831" s="3" t="s">
        <v>722</v>
      </c>
      <c r="C831" s="3" t="s">
        <v>733</v>
      </c>
      <c r="D831" s="3" t="s">
        <v>159</v>
      </c>
      <c r="E831" s="3" t="s">
        <v>691</v>
      </c>
      <c r="F831" s="3" t="s">
        <v>19</v>
      </c>
      <c r="G831" s="4">
        <v>1410000</v>
      </c>
      <c r="H831" s="4">
        <v>1410000</v>
      </c>
      <c r="I831" s="3" t="s">
        <v>329</v>
      </c>
      <c r="J831" s="4">
        <v>24</v>
      </c>
      <c r="K831" s="3" t="s">
        <v>694</v>
      </c>
      <c r="L831" s="4">
        <v>1320000</v>
      </c>
      <c r="M831" s="1">
        <f>O831*J831*K831</f>
        <v>247500</v>
      </c>
      <c r="N831" s="3"/>
      <c r="O831" s="2">
        <f>L831/J831*(1-K831)</f>
        <v>41250</v>
      </c>
    </row>
    <row r="832" ht="14.25">
      <c r="A832" s="3" t="s">
        <v>269</v>
      </c>
      <c r="B832" s="3" t="s">
        <v>722</v>
      </c>
      <c r="C832" s="3" t="s">
        <v>733</v>
      </c>
      <c r="D832" s="3" t="s">
        <v>159</v>
      </c>
      <c r="E832" s="3" t="s">
        <v>691</v>
      </c>
      <c r="F832" s="3" t="s">
        <v>19</v>
      </c>
      <c r="G832" s="4">
        <v>1410000</v>
      </c>
      <c r="H832" s="4">
        <v>1410000</v>
      </c>
      <c r="I832" s="3" t="s">
        <v>165</v>
      </c>
      <c r="J832" s="4">
        <v>20</v>
      </c>
      <c r="K832" s="3" t="s">
        <v>21</v>
      </c>
      <c r="L832" s="4">
        <v>420000</v>
      </c>
      <c r="M832" s="1">
        <f>O832*J832*K832</f>
        <v>0</v>
      </c>
      <c r="N832" s="3"/>
      <c r="O832" s="2">
        <f>L832/J832*(1-K832)</f>
        <v>21000</v>
      </c>
    </row>
    <row r="833" ht="14.25">
      <c r="A833" s="3" t="s">
        <v>151</v>
      </c>
      <c r="B833" s="3" t="s">
        <v>284</v>
      </c>
      <c r="C833" s="3" t="s">
        <v>734</v>
      </c>
      <c r="D833" s="3" t="s">
        <v>17</v>
      </c>
      <c r="E833" s="3" t="s">
        <v>34</v>
      </c>
      <c r="F833" s="3" t="s">
        <v>19</v>
      </c>
      <c r="G833" s="4">
        <v>0</v>
      </c>
      <c r="H833" s="4">
        <v>12676396</v>
      </c>
      <c r="I833" s="3" t="s">
        <v>120</v>
      </c>
      <c r="J833" s="4">
        <v>5</v>
      </c>
      <c r="K833" s="3" t="s">
        <v>21</v>
      </c>
      <c r="L833" s="4">
        <v>1100000</v>
      </c>
      <c r="M833" s="1">
        <f>O833*J833*K833</f>
        <v>0</v>
      </c>
      <c r="N833" s="3"/>
      <c r="O833" s="2">
        <f>L833/J833*(1-K833)</f>
        <v>220000</v>
      </c>
    </row>
    <row r="834" ht="14.25">
      <c r="A834" s="3" t="s">
        <v>151</v>
      </c>
      <c r="B834" s="3" t="s">
        <v>284</v>
      </c>
      <c r="C834" s="3" t="s">
        <v>734</v>
      </c>
      <c r="D834" s="3" t="s">
        <v>17</v>
      </c>
      <c r="E834" s="3" t="s">
        <v>34</v>
      </c>
      <c r="F834" s="3" t="s">
        <v>19</v>
      </c>
      <c r="G834" s="4">
        <v>0</v>
      </c>
      <c r="H834" s="4">
        <v>12676396</v>
      </c>
      <c r="I834" s="3" t="s">
        <v>121</v>
      </c>
      <c r="J834" s="4">
        <v>1</v>
      </c>
      <c r="K834" s="3" t="s">
        <v>21</v>
      </c>
      <c r="L834" s="4">
        <v>3200000</v>
      </c>
      <c r="M834" s="1">
        <f>O834*J834*K834</f>
        <v>0</v>
      </c>
      <c r="N834" s="3"/>
      <c r="O834" s="2">
        <f>L834/J834*(1-K834)</f>
        <v>3200000</v>
      </c>
    </row>
    <row r="835" ht="14.25">
      <c r="A835" s="3" t="s">
        <v>151</v>
      </c>
      <c r="B835" s="3" t="s">
        <v>284</v>
      </c>
      <c r="C835" s="3" t="s">
        <v>734</v>
      </c>
      <c r="D835" s="3" t="s">
        <v>17</v>
      </c>
      <c r="E835" s="3" t="s">
        <v>34</v>
      </c>
      <c r="F835" s="3" t="s">
        <v>19</v>
      </c>
      <c r="G835" s="4">
        <v>0</v>
      </c>
      <c r="H835" s="4">
        <v>12676396</v>
      </c>
      <c r="I835" s="3" t="s">
        <v>39</v>
      </c>
      <c r="J835" s="4">
        <v>1</v>
      </c>
      <c r="K835" s="3" t="s">
        <v>21</v>
      </c>
      <c r="L835" s="4">
        <v>3200000</v>
      </c>
      <c r="M835" s="1">
        <f>O835*J835*K835</f>
        <v>0</v>
      </c>
      <c r="N835" s="3"/>
      <c r="O835" s="2">
        <f>L835/J835*(1-K835)</f>
        <v>3200000</v>
      </c>
    </row>
    <row r="836" ht="14.25">
      <c r="A836" s="3" t="s">
        <v>151</v>
      </c>
      <c r="B836" s="3" t="s">
        <v>284</v>
      </c>
      <c r="C836" s="3" t="s">
        <v>734</v>
      </c>
      <c r="D836" s="3" t="s">
        <v>17</v>
      </c>
      <c r="E836" s="3" t="s">
        <v>34</v>
      </c>
      <c r="F836" s="3" t="s">
        <v>19</v>
      </c>
      <c r="G836" s="4">
        <v>0</v>
      </c>
      <c r="H836" s="4">
        <v>12676396</v>
      </c>
      <c r="I836" s="3" t="s">
        <v>79</v>
      </c>
      <c r="J836" s="4">
        <v>2</v>
      </c>
      <c r="K836" s="3" t="s">
        <v>21</v>
      </c>
      <c r="L836" s="4">
        <v>1300000</v>
      </c>
      <c r="M836" s="1">
        <f>O836*J836*K836</f>
        <v>0</v>
      </c>
      <c r="N836" s="3"/>
      <c r="O836" s="2">
        <f>L836/J836*(1-K836)</f>
        <v>650000</v>
      </c>
    </row>
    <row r="837" ht="14.25">
      <c r="A837" s="3" t="s">
        <v>151</v>
      </c>
      <c r="B837" s="3" t="s">
        <v>284</v>
      </c>
      <c r="C837" s="3" t="s">
        <v>734</v>
      </c>
      <c r="D837" s="3" t="s">
        <v>17</v>
      </c>
      <c r="E837" s="3" t="s">
        <v>34</v>
      </c>
      <c r="F837" s="3" t="s">
        <v>19</v>
      </c>
      <c r="G837" s="4">
        <v>0</v>
      </c>
      <c r="H837" s="4">
        <v>12676396</v>
      </c>
      <c r="I837" s="3" t="s">
        <v>38</v>
      </c>
      <c r="J837" s="4">
        <v>12</v>
      </c>
      <c r="K837" s="3" t="s">
        <v>21</v>
      </c>
      <c r="L837" s="4">
        <v>1869072</v>
      </c>
      <c r="M837" s="1">
        <f>O837*J837*K837</f>
        <v>0</v>
      </c>
      <c r="N837" s="3"/>
      <c r="O837" s="2">
        <f>L837/J837*(1-K837)</f>
        <v>155756</v>
      </c>
    </row>
    <row r="838" ht="14.25">
      <c r="A838" s="3" t="s">
        <v>151</v>
      </c>
      <c r="B838" s="3" t="s">
        <v>284</v>
      </c>
      <c r="C838" s="3" t="s">
        <v>734</v>
      </c>
      <c r="D838" s="3" t="s">
        <v>17</v>
      </c>
      <c r="E838" s="3" t="s">
        <v>34</v>
      </c>
      <c r="F838" s="3" t="s">
        <v>19</v>
      </c>
      <c r="G838" s="4">
        <v>0</v>
      </c>
      <c r="H838" s="4">
        <v>12676396</v>
      </c>
      <c r="I838" s="3" t="s">
        <v>37</v>
      </c>
      <c r="J838" s="4">
        <v>24</v>
      </c>
      <c r="K838" s="3" t="s">
        <v>21</v>
      </c>
      <c r="L838" s="4">
        <v>528000</v>
      </c>
      <c r="M838" s="1">
        <f>O838*J838*K838</f>
        <v>0</v>
      </c>
      <c r="N838" s="3"/>
      <c r="O838" s="2">
        <f>L838/J838*(1-K838)</f>
        <v>22000</v>
      </c>
    </row>
    <row r="839" ht="14.25">
      <c r="A839" s="3" t="s">
        <v>151</v>
      </c>
      <c r="B839" s="3" t="s">
        <v>284</v>
      </c>
      <c r="C839" s="3" t="s">
        <v>734</v>
      </c>
      <c r="D839" s="3" t="s">
        <v>17</v>
      </c>
      <c r="E839" s="3" t="s">
        <v>34</v>
      </c>
      <c r="F839" s="3" t="s">
        <v>19</v>
      </c>
      <c r="G839" s="4">
        <v>0</v>
      </c>
      <c r="H839" s="4">
        <v>12676396</v>
      </c>
      <c r="I839" s="3" t="s">
        <v>125</v>
      </c>
      <c r="J839" s="4">
        <v>6</v>
      </c>
      <c r="K839" s="3" t="s">
        <v>21</v>
      </c>
      <c r="L839" s="4">
        <v>1479324</v>
      </c>
      <c r="M839" s="1">
        <f>O839*J839*K839</f>
        <v>0</v>
      </c>
      <c r="N839" s="3"/>
      <c r="O839" s="2">
        <f>L839/J839*(1-K839)</f>
        <v>246554</v>
      </c>
    </row>
    <row r="840" ht="14.25">
      <c r="A840" s="3" t="s">
        <v>653</v>
      </c>
      <c r="B840" s="3" t="s">
        <v>653</v>
      </c>
      <c r="C840" s="3" t="s">
        <v>735</v>
      </c>
      <c r="D840" s="3" t="s">
        <v>17</v>
      </c>
      <c r="E840" s="3" t="s">
        <v>153</v>
      </c>
      <c r="F840" s="3" t="s">
        <v>19</v>
      </c>
      <c r="G840" s="4">
        <v>0</v>
      </c>
      <c r="H840" s="4">
        <v>6000000</v>
      </c>
      <c r="I840" s="3" t="s">
        <v>86</v>
      </c>
      <c r="J840" s="4">
        <v>1</v>
      </c>
      <c r="K840" s="3" t="s">
        <v>21</v>
      </c>
      <c r="L840" s="4">
        <v>6000000</v>
      </c>
      <c r="M840" s="1">
        <f>O840*J840*K840</f>
        <v>0</v>
      </c>
      <c r="N840" s="3"/>
      <c r="O840" s="2">
        <f>L840/J840*(1-K840)</f>
        <v>6000000</v>
      </c>
    </row>
    <row r="841" ht="14.25">
      <c r="A841" s="3" t="s">
        <v>653</v>
      </c>
      <c r="B841" s="3" t="s">
        <v>653</v>
      </c>
      <c r="C841" s="3" t="s">
        <v>736</v>
      </c>
      <c r="D841" s="3" t="s">
        <v>17</v>
      </c>
      <c r="E841" s="3" t="s">
        <v>501</v>
      </c>
      <c r="F841" s="3" t="s">
        <v>19</v>
      </c>
      <c r="G841" s="4">
        <v>0</v>
      </c>
      <c r="H841" s="4">
        <v>14014800</v>
      </c>
      <c r="I841" s="3" t="s">
        <v>737</v>
      </c>
      <c r="J841" s="4">
        <v>1</v>
      </c>
      <c r="K841" s="3" t="s">
        <v>21</v>
      </c>
      <c r="L841" s="4">
        <v>4500000</v>
      </c>
      <c r="M841" s="1">
        <f>O841*J841*K841</f>
        <v>0</v>
      </c>
      <c r="N841" s="3"/>
      <c r="O841" s="2">
        <f>L841/J841*(1-K841)</f>
        <v>4500000</v>
      </c>
    </row>
    <row r="842" ht="14.25">
      <c r="A842" s="3" t="s">
        <v>653</v>
      </c>
      <c r="B842" s="3" t="s">
        <v>653</v>
      </c>
      <c r="C842" s="3" t="s">
        <v>736</v>
      </c>
      <c r="D842" s="3" t="s">
        <v>17</v>
      </c>
      <c r="E842" s="3" t="s">
        <v>501</v>
      </c>
      <c r="F842" s="3" t="s">
        <v>19</v>
      </c>
      <c r="G842" s="4">
        <v>0</v>
      </c>
      <c r="H842" s="4">
        <v>14014800</v>
      </c>
      <c r="I842" s="3" t="s">
        <v>503</v>
      </c>
      <c r="J842" s="4">
        <v>6</v>
      </c>
      <c r="K842" s="3" t="s">
        <v>21</v>
      </c>
      <c r="L842" s="4">
        <v>1182000</v>
      </c>
      <c r="M842" s="1">
        <f>O842*J842*K842</f>
        <v>0</v>
      </c>
      <c r="N842" s="3"/>
      <c r="O842" s="2">
        <f>L842/J842*(1-K842)</f>
        <v>197000</v>
      </c>
    </row>
    <row r="843" ht="14.25">
      <c r="A843" s="3" t="s">
        <v>653</v>
      </c>
      <c r="B843" s="3" t="s">
        <v>653</v>
      </c>
      <c r="C843" s="3" t="s">
        <v>736</v>
      </c>
      <c r="D843" s="3" t="s">
        <v>17</v>
      </c>
      <c r="E843" s="3" t="s">
        <v>501</v>
      </c>
      <c r="F843" s="3" t="s">
        <v>19</v>
      </c>
      <c r="G843" s="4">
        <v>0</v>
      </c>
      <c r="H843" s="4">
        <v>14014800</v>
      </c>
      <c r="I843" s="3" t="s">
        <v>56</v>
      </c>
      <c r="J843" s="4">
        <v>4</v>
      </c>
      <c r="K843" s="3" t="s">
        <v>21</v>
      </c>
      <c r="L843" s="4">
        <v>620000</v>
      </c>
      <c r="M843" s="1">
        <f>O843*J843*K843</f>
        <v>0</v>
      </c>
      <c r="N843" s="3"/>
      <c r="O843" s="2">
        <f>L843/J843*(1-K843)</f>
        <v>155000</v>
      </c>
    </row>
    <row r="844" ht="14.25">
      <c r="A844" s="3" t="s">
        <v>653</v>
      </c>
      <c r="B844" s="3" t="s">
        <v>653</v>
      </c>
      <c r="C844" s="3" t="s">
        <v>736</v>
      </c>
      <c r="D844" s="3" t="s">
        <v>17</v>
      </c>
      <c r="E844" s="3" t="s">
        <v>501</v>
      </c>
      <c r="F844" s="3" t="s">
        <v>19</v>
      </c>
      <c r="G844" s="4">
        <v>0</v>
      </c>
      <c r="H844" s="4">
        <v>14014800</v>
      </c>
      <c r="I844" s="3" t="s">
        <v>417</v>
      </c>
      <c r="J844" s="4">
        <v>4</v>
      </c>
      <c r="K844" s="3" t="s">
        <v>21</v>
      </c>
      <c r="L844" s="4">
        <v>650000</v>
      </c>
      <c r="M844" s="1">
        <f>O844*J844*K844</f>
        <v>0</v>
      </c>
      <c r="N844" s="3"/>
      <c r="O844" s="2">
        <f>L844/J844*(1-K844)</f>
        <v>162500</v>
      </c>
    </row>
    <row r="845" ht="14.25">
      <c r="A845" s="3" t="s">
        <v>653</v>
      </c>
      <c r="B845" s="3" t="s">
        <v>653</v>
      </c>
      <c r="C845" s="3" t="s">
        <v>736</v>
      </c>
      <c r="D845" s="3" t="s">
        <v>17</v>
      </c>
      <c r="E845" s="3" t="s">
        <v>501</v>
      </c>
      <c r="F845" s="3" t="s">
        <v>19</v>
      </c>
      <c r="G845" s="4">
        <v>0</v>
      </c>
      <c r="H845" s="4">
        <v>14014800</v>
      </c>
      <c r="I845" s="3" t="s">
        <v>250</v>
      </c>
      <c r="J845" s="4">
        <v>8</v>
      </c>
      <c r="K845" s="3" t="s">
        <v>21</v>
      </c>
      <c r="L845" s="4">
        <v>1400000</v>
      </c>
      <c r="M845" s="1">
        <f>O845*J845*K845</f>
        <v>0</v>
      </c>
      <c r="N845" s="3"/>
      <c r="O845" s="2">
        <f>L845/J845*(1-K845)</f>
        <v>175000</v>
      </c>
    </row>
    <row r="846" ht="14.25">
      <c r="A846" s="3" t="s">
        <v>653</v>
      </c>
      <c r="B846" s="3" t="s">
        <v>653</v>
      </c>
      <c r="C846" s="3" t="s">
        <v>736</v>
      </c>
      <c r="D846" s="3" t="s">
        <v>17</v>
      </c>
      <c r="E846" s="3" t="s">
        <v>501</v>
      </c>
      <c r="F846" s="3" t="s">
        <v>19</v>
      </c>
      <c r="G846" s="4">
        <v>0</v>
      </c>
      <c r="H846" s="4">
        <v>14014800</v>
      </c>
      <c r="I846" s="3" t="s">
        <v>162</v>
      </c>
      <c r="J846" s="4">
        <v>48</v>
      </c>
      <c r="K846" s="3" t="s">
        <v>21</v>
      </c>
      <c r="L846" s="4">
        <v>388800</v>
      </c>
      <c r="M846" s="1">
        <f>O846*J846*K846</f>
        <v>0</v>
      </c>
      <c r="N846" s="3"/>
      <c r="O846" s="2">
        <f>L846/J846*(1-K846)</f>
        <v>8100</v>
      </c>
    </row>
    <row r="847" ht="14.25">
      <c r="A847" s="3" t="s">
        <v>653</v>
      </c>
      <c r="B847" s="3" t="s">
        <v>653</v>
      </c>
      <c r="C847" s="3" t="s">
        <v>736</v>
      </c>
      <c r="D847" s="3" t="s">
        <v>17</v>
      </c>
      <c r="E847" s="3" t="s">
        <v>501</v>
      </c>
      <c r="F847" s="3" t="s">
        <v>19</v>
      </c>
      <c r="G847" s="4">
        <v>0</v>
      </c>
      <c r="H847" s="4">
        <v>14014800</v>
      </c>
      <c r="I847" s="3" t="s">
        <v>298</v>
      </c>
      <c r="J847" s="4">
        <v>48</v>
      </c>
      <c r="K847" s="3" t="s">
        <v>21</v>
      </c>
      <c r="L847" s="4">
        <v>1320000</v>
      </c>
      <c r="M847" s="1">
        <f>O847*J847*K847</f>
        <v>0</v>
      </c>
      <c r="N847" s="3"/>
      <c r="O847" s="2">
        <f>L847/J847*(1-K847)</f>
        <v>27500</v>
      </c>
    </row>
    <row r="848" ht="14.25">
      <c r="A848" s="3" t="s">
        <v>653</v>
      </c>
      <c r="B848" s="3" t="s">
        <v>653</v>
      </c>
      <c r="C848" s="3" t="s">
        <v>736</v>
      </c>
      <c r="D848" s="3" t="s">
        <v>17</v>
      </c>
      <c r="E848" s="3" t="s">
        <v>501</v>
      </c>
      <c r="F848" s="3" t="s">
        <v>19</v>
      </c>
      <c r="G848" s="4">
        <v>0</v>
      </c>
      <c r="H848" s="4">
        <v>14014800</v>
      </c>
      <c r="I848" s="3" t="s">
        <v>207</v>
      </c>
      <c r="J848" s="4">
        <v>12</v>
      </c>
      <c r="K848" s="3" t="s">
        <v>21</v>
      </c>
      <c r="L848" s="4">
        <v>384000</v>
      </c>
      <c r="M848" s="1">
        <f>O848*J848*K848</f>
        <v>0</v>
      </c>
      <c r="N848" s="3"/>
      <c r="O848" s="2">
        <f>L848/J848*(1-K848)</f>
        <v>32000</v>
      </c>
    </row>
    <row r="849" ht="14.25">
      <c r="A849" s="3" t="s">
        <v>653</v>
      </c>
      <c r="B849" s="3" t="s">
        <v>653</v>
      </c>
      <c r="C849" s="3" t="s">
        <v>736</v>
      </c>
      <c r="D849" s="3" t="s">
        <v>17</v>
      </c>
      <c r="E849" s="3" t="s">
        <v>501</v>
      </c>
      <c r="F849" s="3" t="s">
        <v>19</v>
      </c>
      <c r="G849" s="4">
        <v>0</v>
      </c>
      <c r="H849" s="4">
        <v>14014800</v>
      </c>
      <c r="I849" s="3" t="s">
        <v>738</v>
      </c>
      <c r="J849" s="4">
        <v>4</v>
      </c>
      <c r="K849" s="3" t="s">
        <v>21</v>
      </c>
      <c r="L849" s="4">
        <v>1320000</v>
      </c>
      <c r="M849" s="1">
        <f>O849*J849*K849</f>
        <v>0</v>
      </c>
      <c r="N849" s="3"/>
      <c r="O849" s="2">
        <f>L849/J849*(1-K849)</f>
        <v>330000</v>
      </c>
    </row>
    <row r="850" ht="14.25">
      <c r="A850" s="3" t="s">
        <v>653</v>
      </c>
      <c r="B850" s="3" t="s">
        <v>653</v>
      </c>
      <c r="C850" s="3" t="s">
        <v>736</v>
      </c>
      <c r="D850" s="3" t="s">
        <v>17</v>
      </c>
      <c r="E850" s="3" t="s">
        <v>501</v>
      </c>
      <c r="F850" s="3" t="s">
        <v>19</v>
      </c>
      <c r="G850" s="4">
        <v>0</v>
      </c>
      <c r="H850" s="4">
        <v>14014800</v>
      </c>
      <c r="I850" s="3" t="s">
        <v>395</v>
      </c>
      <c r="J850" s="4">
        <v>18</v>
      </c>
      <c r="K850" s="3" t="s">
        <v>21</v>
      </c>
      <c r="L850" s="4">
        <v>2250000</v>
      </c>
      <c r="M850" s="1">
        <f>O850*J850*K850</f>
        <v>0</v>
      </c>
      <c r="N850" s="3"/>
      <c r="O850" s="2">
        <f>L850/J850*(1-K850)</f>
        <v>125000</v>
      </c>
    </row>
    <row r="851" ht="14.25">
      <c r="A851" s="3" t="s">
        <v>653</v>
      </c>
      <c r="B851" s="3" t="s">
        <v>739</v>
      </c>
      <c r="C851" s="3" t="s">
        <v>740</v>
      </c>
      <c r="D851" s="3" t="s">
        <v>17</v>
      </c>
      <c r="E851" s="3" t="s">
        <v>230</v>
      </c>
      <c r="F851" s="3" t="s">
        <v>19</v>
      </c>
      <c r="G851" s="4">
        <v>0</v>
      </c>
      <c r="H851" s="4">
        <v>3750000</v>
      </c>
      <c r="I851" s="3" t="s">
        <v>35</v>
      </c>
      <c r="J851" s="4">
        <v>1</v>
      </c>
      <c r="K851" s="3" t="s">
        <v>21</v>
      </c>
      <c r="L851" s="4">
        <v>3750000</v>
      </c>
      <c r="M851" s="1">
        <f>O851*J851*K851</f>
        <v>0</v>
      </c>
      <c r="N851" s="3"/>
      <c r="O851" s="2">
        <f>L851/J851*(1-K851)</f>
        <v>3750000</v>
      </c>
    </row>
    <row r="852" ht="14.25">
      <c r="A852" s="3" t="s">
        <v>653</v>
      </c>
      <c r="B852" s="3" t="s">
        <v>653</v>
      </c>
      <c r="C852" s="3" t="s">
        <v>741</v>
      </c>
      <c r="D852" s="3" t="s">
        <v>17</v>
      </c>
      <c r="E852" s="3" t="s">
        <v>88</v>
      </c>
      <c r="F852" s="3" t="s">
        <v>19</v>
      </c>
      <c r="G852" s="4">
        <v>0</v>
      </c>
      <c r="H852" s="4">
        <v>7500000</v>
      </c>
      <c r="I852" s="3" t="s">
        <v>90</v>
      </c>
      <c r="J852" s="4">
        <v>10</v>
      </c>
      <c r="K852" s="3" t="s">
        <v>21</v>
      </c>
      <c r="L852" s="4">
        <v>5000000</v>
      </c>
      <c r="M852" s="1">
        <f>O852*J852*K852</f>
        <v>0</v>
      </c>
      <c r="N852" s="3"/>
      <c r="O852" s="2">
        <f>L852/J852*(1-K852)</f>
        <v>500000</v>
      </c>
    </row>
    <row r="853" ht="14.25">
      <c r="A853" s="3" t="s">
        <v>653</v>
      </c>
      <c r="B853" s="3" t="s">
        <v>653</v>
      </c>
      <c r="C853" s="3" t="s">
        <v>741</v>
      </c>
      <c r="D853" s="3" t="s">
        <v>17</v>
      </c>
      <c r="E853" s="3" t="s">
        <v>88</v>
      </c>
      <c r="F853" s="3" t="s">
        <v>19</v>
      </c>
      <c r="G853" s="4">
        <v>0</v>
      </c>
      <c r="H853" s="4">
        <v>7500000</v>
      </c>
      <c r="I853" s="3" t="s">
        <v>150</v>
      </c>
      <c r="J853" s="4">
        <v>5</v>
      </c>
      <c r="K853" s="3" t="s">
        <v>21</v>
      </c>
      <c r="L853" s="4">
        <v>2500000</v>
      </c>
      <c r="M853" s="1">
        <f>O853*J853*K853</f>
        <v>0</v>
      </c>
      <c r="N853" s="3"/>
      <c r="O853" s="2">
        <f>L853/J853*(1-K853)</f>
        <v>500000</v>
      </c>
    </row>
    <row r="854" ht="14.25">
      <c r="A854" s="3" t="s">
        <v>653</v>
      </c>
      <c r="B854" s="3" t="s">
        <v>739</v>
      </c>
      <c r="C854" s="3" t="s">
        <v>742</v>
      </c>
      <c r="D854" s="3" t="s">
        <v>17</v>
      </c>
      <c r="E854" s="3" t="s">
        <v>85</v>
      </c>
      <c r="F854" s="3" t="s">
        <v>19</v>
      </c>
      <c r="G854" s="4">
        <v>0</v>
      </c>
      <c r="H854" s="4">
        <v>23916542</v>
      </c>
      <c r="I854" s="3" t="s">
        <v>250</v>
      </c>
      <c r="J854" s="4">
        <v>16</v>
      </c>
      <c r="K854" s="3" t="s">
        <v>21</v>
      </c>
      <c r="L854" s="4">
        <v>2800000</v>
      </c>
      <c r="M854" s="1">
        <f>O854*J854*K854</f>
        <v>0</v>
      </c>
      <c r="N854" s="3"/>
      <c r="O854" s="2">
        <f>L854/J854*(1-K854)</f>
        <v>175000</v>
      </c>
    </row>
    <row r="855" ht="14.25">
      <c r="A855" s="3" t="s">
        <v>653</v>
      </c>
      <c r="B855" s="3" t="s">
        <v>739</v>
      </c>
      <c r="C855" s="3" t="s">
        <v>742</v>
      </c>
      <c r="D855" s="3" t="s">
        <v>17</v>
      </c>
      <c r="E855" s="3" t="s">
        <v>85</v>
      </c>
      <c r="F855" s="3" t="s">
        <v>19</v>
      </c>
      <c r="G855" s="4">
        <v>0</v>
      </c>
      <c r="H855" s="4">
        <v>23916542</v>
      </c>
      <c r="I855" s="3" t="s">
        <v>383</v>
      </c>
      <c r="J855" s="4">
        <v>16</v>
      </c>
      <c r="K855" s="3" t="s">
        <v>21</v>
      </c>
      <c r="L855" s="4">
        <v>3200000</v>
      </c>
      <c r="M855" s="1">
        <f>O855*J855*K855</f>
        <v>0</v>
      </c>
      <c r="N855" s="3"/>
      <c r="O855" s="2">
        <f>L855/J855*(1-K855)</f>
        <v>200000</v>
      </c>
    </row>
    <row r="856" ht="14.25">
      <c r="A856" s="3" t="s">
        <v>653</v>
      </c>
      <c r="B856" s="3" t="s">
        <v>739</v>
      </c>
      <c r="C856" s="3" t="s">
        <v>742</v>
      </c>
      <c r="D856" s="3" t="s">
        <v>17</v>
      </c>
      <c r="E856" s="3" t="s">
        <v>85</v>
      </c>
      <c r="F856" s="3" t="s">
        <v>19</v>
      </c>
      <c r="G856" s="4">
        <v>0</v>
      </c>
      <c r="H856" s="4">
        <v>23916542</v>
      </c>
      <c r="I856" s="3" t="s">
        <v>224</v>
      </c>
      <c r="J856" s="4">
        <v>20</v>
      </c>
      <c r="K856" s="3" t="s">
        <v>21</v>
      </c>
      <c r="L856" s="4">
        <v>4250000</v>
      </c>
      <c r="M856" s="1">
        <f>O856*J856*K856</f>
        <v>0</v>
      </c>
      <c r="N856" s="3"/>
      <c r="O856" s="2">
        <f>L856/J856*(1-K856)</f>
        <v>212500</v>
      </c>
    </row>
    <row r="857" ht="14.25">
      <c r="A857" s="3" t="s">
        <v>653</v>
      </c>
      <c r="B857" s="3" t="s">
        <v>739</v>
      </c>
      <c r="C857" s="3" t="s">
        <v>742</v>
      </c>
      <c r="D857" s="3" t="s">
        <v>17</v>
      </c>
      <c r="E857" s="3" t="s">
        <v>85</v>
      </c>
      <c r="F857" s="3" t="s">
        <v>19</v>
      </c>
      <c r="G857" s="4">
        <v>0</v>
      </c>
      <c r="H857" s="4">
        <v>23916542</v>
      </c>
      <c r="I857" s="3" t="s">
        <v>114</v>
      </c>
      <c r="J857" s="4">
        <v>24</v>
      </c>
      <c r="K857" s="3" t="s">
        <v>21</v>
      </c>
      <c r="L857" s="4">
        <v>1120008</v>
      </c>
      <c r="M857" s="1">
        <f>O857*J857*K857</f>
        <v>0</v>
      </c>
      <c r="N857" s="3"/>
      <c r="O857" s="2">
        <f>L857/J857*(1-K857)</f>
        <v>46667</v>
      </c>
    </row>
    <row r="858" ht="14.25">
      <c r="A858" s="3" t="s">
        <v>653</v>
      </c>
      <c r="B858" s="3" t="s">
        <v>739</v>
      </c>
      <c r="C858" s="3" t="s">
        <v>742</v>
      </c>
      <c r="D858" s="3" t="s">
        <v>17</v>
      </c>
      <c r="E858" s="3" t="s">
        <v>85</v>
      </c>
      <c r="F858" s="3" t="s">
        <v>19</v>
      </c>
      <c r="G858" s="4">
        <v>0</v>
      </c>
      <c r="H858" s="4">
        <v>23916542</v>
      </c>
      <c r="I858" s="3" t="s">
        <v>743</v>
      </c>
      <c r="J858" s="4">
        <v>24</v>
      </c>
      <c r="K858" s="3" t="s">
        <v>21</v>
      </c>
      <c r="L858" s="4">
        <v>1350000</v>
      </c>
      <c r="M858" s="1">
        <f>O858*J858*K858</f>
        <v>0</v>
      </c>
      <c r="N858" s="3"/>
      <c r="O858" s="2">
        <f>L858/J858*(1-K858)</f>
        <v>56250</v>
      </c>
    </row>
    <row r="859" ht="14.25">
      <c r="A859" s="3" t="s">
        <v>653</v>
      </c>
      <c r="B859" s="3" t="s">
        <v>739</v>
      </c>
      <c r="C859" s="3" t="s">
        <v>742</v>
      </c>
      <c r="D859" s="3" t="s">
        <v>17</v>
      </c>
      <c r="E859" s="3" t="s">
        <v>85</v>
      </c>
      <c r="F859" s="3" t="s">
        <v>19</v>
      </c>
      <c r="G859" s="4">
        <v>0</v>
      </c>
      <c r="H859" s="4">
        <v>23916542</v>
      </c>
      <c r="I859" s="3" t="s">
        <v>246</v>
      </c>
      <c r="J859" s="4">
        <v>24</v>
      </c>
      <c r="K859" s="3" t="s">
        <v>21</v>
      </c>
      <c r="L859" s="4">
        <v>1450008</v>
      </c>
      <c r="M859" s="1">
        <f>O859*J859*K859</f>
        <v>0</v>
      </c>
      <c r="N859" s="3"/>
      <c r="O859" s="2">
        <f>L859/J859*(1-K859)</f>
        <v>60417</v>
      </c>
    </row>
    <row r="860" ht="14.25">
      <c r="A860" s="3" t="s">
        <v>653</v>
      </c>
      <c r="B860" s="3" t="s">
        <v>739</v>
      </c>
      <c r="C860" s="3" t="s">
        <v>742</v>
      </c>
      <c r="D860" s="3" t="s">
        <v>17</v>
      </c>
      <c r="E860" s="3" t="s">
        <v>85</v>
      </c>
      <c r="F860" s="3" t="s">
        <v>19</v>
      </c>
      <c r="G860" s="4">
        <v>0</v>
      </c>
      <c r="H860" s="4">
        <v>23916542</v>
      </c>
      <c r="I860" s="3" t="s">
        <v>744</v>
      </c>
      <c r="J860" s="4">
        <v>36</v>
      </c>
      <c r="K860" s="3" t="s">
        <v>21</v>
      </c>
      <c r="L860" s="4">
        <v>1908900</v>
      </c>
      <c r="M860" s="1">
        <f>O860*J860*K860</f>
        <v>0</v>
      </c>
      <c r="N860" s="3"/>
      <c r="O860" s="2">
        <f>L860/J860*(1-K860)</f>
        <v>53025</v>
      </c>
    </row>
    <row r="861" ht="14.25">
      <c r="A861" s="3" t="s">
        <v>653</v>
      </c>
      <c r="B861" s="3" t="s">
        <v>739</v>
      </c>
      <c r="C861" s="3" t="s">
        <v>742</v>
      </c>
      <c r="D861" s="3" t="s">
        <v>17</v>
      </c>
      <c r="E861" s="3" t="s">
        <v>85</v>
      </c>
      <c r="F861" s="3" t="s">
        <v>19</v>
      </c>
      <c r="G861" s="4">
        <v>0</v>
      </c>
      <c r="H861" s="4">
        <v>23916542</v>
      </c>
      <c r="I861" s="3" t="s">
        <v>241</v>
      </c>
      <c r="J861" s="4">
        <v>24</v>
      </c>
      <c r="K861" s="3" t="s">
        <v>745</v>
      </c>
      <c r="L861" s="4">
        <v>1392000</v>
      </c>
      <c r="M861" s="1">
        <f>O861*J861*K861</f>
        <v>90619.200000000012</v>
      </c>
      <c r="N861" s="3"/>
      <c r="O861" s="2">
        <f>L861/J861*(1-K861)</f>
        <v>53940</v>
      </c>
    </row>
    <row r="862" ht="14.25">
      <c r="A862" s="3" t="s">
        <v>653</v>
      </c>
      <c r="B862" s="3" t="s">
        <v>739</v>
      </c>
      <c r="C862" s="3" t="s">
        <v>742</v>
      </c>
      <c r="D862" s="3" t="s">
        <v>17</v>
      </c>
      <c r="E862" s="3" t="s">
        <v>85</v>
      </c>
      <c r="F862" s="3" t="s">
        <v>19</v>
      </c>
      <c r="G862" s="4">
        <v>0</v>
      </c>
      <c r="H862" s="4">
        <v>23916542</v>
      </c>
      <c r="I862" s="3" t="s">
        <v>467</v>
      </c>
      <c r="J862" s="4">
        <v>20</v>
      </c>
      <c r="K862" s="3" t="s">
        <v>21</v>
      </c>
      <c r="L862" s="4">
        <v>705000</v>
      </c>
      <c r="M862" s="1">
        <f>O862*J862*K862</f>
        <v>0</v>
      </c>
      <c r="N862" s="3"/>
      <c r="O862" s="2">
        <f>L862/J862*(1-K862)</f>
        <v>35250</v>
      </c>
    </row>
    <row r="863" ht="14.25">
      <c r="A863" s="3" t="s">
        <v>653</v>
      </c>
      <c r="B863" s="3" t="s">
        <v>739</v>
      </c>
      <c r="C863" s="3" t="s">
        <v>742</v>
      </c>
      <c r="D863" s="3" t="s">
        <v>17</v>
      </c>
      <c r="E863" s="3" t="s">
        <v>85</v>
      </c>
      <c r="F863" s="3" t="s">
        <v>19</v>
      </c>
      <c r="G863" s="4">
        <v>0</v>
      </c>
      <c r="H863" s="4">
        <v>23916542</v>
      </c>
      <c r="I863" s="3" t="s">
        <v>415</v>
      </c>
      <c r="J863" s="4">
        <v>12</v>
      </c>
      <c r="K863" s="3" t="s">
        <v>21</v>
      </c>
      <c r="L863" s="4">
        <v>460008</v>
      </c>
      <c r="M863" s="1">
        <f>O863*J863*K863</f>
        <v>0</v>
      </c>
      <c r="N863" s="3"/>
      <c r="O863" s="2">
        <f>L863/J863*(1-K863)</f>
        <v>38334</v>
      </c>
    </row>
    <row r="864" ht="14.25">
      <c r="A864" s="3" t="s">
        <v>653</v>
      </c>
      <c r="B864" s="3" t="s">
        <v>739</v>
      </c>
      <c r="C864" s="3" t="s">
        <v>742</v>
      </c>
      <c r="D864" s="3" t="s">
        <v>17</v>
      </c>
      <c r="E864" s="3" t="s">
        <v>85</v>
      </c>
      <c r="F864" s="3" t="s">
        <v>19</v>
      </c>
      <c r="G864" s="4">
        <v>0</v>
      </c>
      <c r="H864" s="4">
        <v>23916542</v>
      </c>
      <c r="I864" s="3" t="s">
        <v>395</v>
      </c>
      <c r="J864" s="4">
        <v>18</v>
      </c>
      <c r="K864" s="3" t="s">
        <v>21</v>
      </c>
      <c r="L864" s="4">
        <v>2400012</v>
      </c>
      <c r="M864" s="1">
        <f>O864*J864*K864</f>
        <v>0</v>
      </c>
      <c r="N864" s="3"/>
      <c r="O864" s="2">
        <f>L864/J864*(1-K864)</f>
        <v>133334</v>
      </c>
    </row>
    <row r="865" ht="14.25">
      <c r="A865" s="3" t="s">
        <v>653</v>
      </c>
      <c r="B865" s="3" t="s">
        <v>739</v>
      </c>
      <c r="C865" s="3" t="s">
        <v>742</v>
      </c>
      <c r="D865" s="3" t="s">
        <v>17</v>
      </c>
      <c r="E865" s="3" t="s">
        <v>85</v>
      </c>
      <c r="F865" s="3" t="s">
        <v>19</v>
      </c>
      <c r="G865" s="4">
        <v>0</v>
      </c>
      <c r="H865" s="4">
        <v>23916542</v>
      </c>
      <c r="I865" s="3" t="s">
        <v>746</v>
      </c>
      <c r="J865" s="4">
        <v>18</v>
      </c>
      <c r="K865" s="3" t="s">
        <v>745</v>
      </c>
      <c r="L865" s="4">
        <v>3202200</v>
      </c>
      <c r="M865" s="1">
        <f>O865*J865*K865</f>
        <v>208463.22000000003</v>
      </c>
      <c r="N865" s="3"/>
      <c r="O865" s="2">
        <f>L865/J865*(1-K865)</f>
        <v>165447</v>
      </c>
    </row>
    <row r="866" ht="14.25">
      <c r="A866" s="3" t="s">
        <v>653</v>
      </c>
      <c r="B866" s="3" t="s">
        <v>739</v>
      </c>
      <c r="C866" s="3" t="s">
        <v>747</v>
      </c>
      <c r="D866" s="3" t="s">
        <v>17</v>
      </c>
      <c r="E866" s="3" t="s">
        <v>85</v>
      </c>
      <c r="F866" s="3" t="s">
        <v>19</v>
      </c>
      <c r="G866" s="4">
        <v>0</v>
      </c>
      <c r="H866" s="4">
        <v>2189136</v>
      </c>
      <c r="I866" s="3" t="s">
        <v>606</v>
      </c>
      <c r="J866" s="4">
        <v>6</v>
      </c>
      <c r="K866" s="3" t="s">
        <v>21</v>
      </c>
      <c r="L866" s="4">
        <v>780000</v>
      </c>
      <c r="M866" s="1">
        <f>O866*J866*K866</f>
        <v>0</v>
      </c>
      <c r="N866" s="3"/>
      <c r="O866" s="2">
        <f>L866/J866*(1-K866)</f>
        <v>130000</v>
      </c>
    </row>
    <row r="867" ht="14.25">
      <c r="A867" s="3" t="s">
        <v>653</v>
      </c>
      <c r="B867" s="3" t="s">
        <v>739</v>
      </c>
      <c r="C867" s="3" t="s">
        <v>747</v>
      </c>
      <c r="D867" s="3" t="s">
        <v>17</v>
      </c>
      <c r="E867" s="3" t="s">
        <v>85</v>
      </c>
      <c r="F867" s="3" t="s">
        <v>19</v>
      </c>
      <c r="G867" s="4">
        <v>0</v>
      </c>
      <c r="H867" s="4">
        <v>2189136</v>
      </c>
      <c r="I867" s="3" t="s">
        <v>748</v>
      </c>
      <c r="J867" s="4">
        <v>4</v>
      </c>
      <c r="K867" s="3" t="s">
        <v>21</v>
      </c>
      <c r="L867" s="4">
        <v>1409136</v>
      </c>
      <c r="M867" s="1">
        <f>O867*J867*K867</f>
        <v>0</v>
      </c>
      <c r="N867" s="3"/>
      <c r="O867" s="2">
        <f>L867/J867*(1-K867)</f>
        <v>352284</v>
      </c>
    </row>
    <row r="868" ht="14.25">
      <c r="A868" s="3" t="s">
        <v>653</v>
      </c>
      <c r="B868" s="3" t="s">
        <v>653</v>
      </c>
      <c r="C868" s="3" t="s">
        <v>749</v>
      </c>
      <c r="D868" s="3" t="s">
        <v>17</v>
      </c>
      <c r="E868" s="3" t="s">
        <v>750</v>
      </c>
      <c r="F868" s="3" t="s">
        <v>19</v>
      </c>
      <c r="G868" s="4">
        <v>0</v>
      </c>
      <c r="H868" s="4">
        <v>3500000</v>
      </c>
      <c r="I868" s="3" t="s">
        <v>121</v>
      </c>
      <c r="J868" s="4">
        <v>1</v>
      </c>
      <c r="K868" s="3" t="s">
        <v>21</v>
      </c>
      <c r="L868" s="4">
        <v>3500000</v>
      </c>
      <c r="M868" s="1">
        <f>O868*J868*K868</f>
        <v>0</v>
      </c>
      <c r="N868" s="3"/>
      <c r="O868" s="2">
        <f>L868/J868*(1-K868)</f>
        <v>3500000</v>
      </c>
    </row>
    <row r="869" ht="14.25">
      <c r="A869" s="3" t="s">
        <v>653</v>
      </c>
      <c r="B869" s="3" t="s">
        <v>739</v>
      </c>
      <c r="C869" s="3" t="s">
        <v>751</v>
      </c>
      <c r="D869" s="3" t="s">
        <v>17</v>
      </c>
      <c r="E869" s="3" t="s">
        <v>752</v>
      </c>
      <c r="F869" s="3" t="s">
        <v>19</v>
      </c>
      <c r="G869" s="4">
        <v>0</v>
      </c>
      <c r="H869" s="4">
        <v>2152200</v>
      </c>
      <c r="I869" s="3" t="s">
        <v>454</v>
      </c>
      <c r="J869" s="4">
        <v>24</v>
      </c>
      <c r="K869" s="3" t="s">
        <v>353</v>
      </c>
      <c r="L869" s="4">
        <v>1200000</v>
      </c>
      <c r="M869" s="1">
        <f>O869*J869*K869</f>
        <v>153000</v>
      </c>
      <c r="N869" s="3"/>
      <c r="O869" s="2">
        <f>L869/J869*(1-K869)</f>
        <v>42500</v>
      </c>
    </row>
    <row r="870" ht="14.25">
      <c r="A870" s="3" t="s">
        <v>653</v>
      </c>
      <c r="B870" s="3" t="s">
        <v>739</v>
      </c>
      <c r="C870" s="3" t="s">
        <v>751</v>
      </c>
      <c r="D870" s="3" t="s">
        <v>17</v>
      </c>
      <c r="E870" s="3" t="s">
        <v>752</v>
      </c>
      <c r="F870" s="3" t="s">
        <v>19</v>
      </c>
      <c r="G870" s="4">
        <v>0</v>
      </c>
      <c r="H870" s="4">
        <v>2152200</v>
      </c>
      <c r="I870" s="3" t="s">
        <v>327</v>
      </c>
      <c r="J870" s="4">
        <v>12</v>
      </c>
      <c r="K870" s="3" t="s">
        <v>353</v>
      </c>
      <c r="L870" s="4">
        <v>660000</v>
      </c>
      <c r="M870" s="1">
        <f>O870*J870*K870</f>
        <v>84150</v>
      </c>
      <c r="N870" s="3"/>
      <c r="O870" s="2">
        <f>L870/J870*(1-K870)</f>
        <v>46750</v>
      </c>
    </row>
    <row r="871" ht="14.25">
      <c r="A871" s="3" t="s">
        <v>653</v>
      </c>
      <c r="B871" s="3" t="s">
        <v>739</v>
      </c>
      <c r="C871" s="3" t="s">
        <v>751</v>
      </c>
      <c r="D871" s="3" t="s">
        <v>17</v>
      </c>
      <c r="E871" s="3" t="s">
        <v>752</v>
      </c>
      <c r="F871" s="3" t="s">
        <v>19</v>
      </c>
      <c r="G871" s="4">
        <v>0</v>
      </c>
      <c r="H871" s="4">
        <v>2152200</v>
      </c>
      <c r="I871" s="3" t="s">
        <v>330</v>
      </c>
      <c r="J871" s="4">
        <v>48</v>
      </c>
      <c r="K871" s="3" t="s">
        <v>353</v>
      </c>
      <c r="L871" s="4">
        <v>672000</v>
      </c>
      <c r="M871" s="1">
        <f>O871*J871*K871</f>
        <v>85680</v>
      </c>
      <c r="N871" s="3"/>
      <c r="O871" s="2">
        <f>L871/J871*(1-K871)</f>
        <v>11900</v>
      </c>
    </row>
    <row r="872" ht="14.25">
      <c r="A872" s="3" t="s">
        <v>653</v>
      </c>
      <c r="B872" s="3" t="s">
        <v>411</v>
      </c>
      <c r="C872" s="3" t="s">
        <v>753</v>
      </c>
      <c r="D872" s="3" t="s">
        <v>17</v>
      </c>
      <c r="E872" s="3" t="s">
        <v>134</v>
      </c>
      <c r="F872" s="3" t="s">
        <v>19</v>
      </c>
      <c r="G872" s="4">
        <v>0</v>
      </c>
      <c r="H872" s="4">
        <v>11997803.52</v>
      </c>
      <c r="I872" s="3" t="s">
        <v>69</v>
      </c>
      <c r="J872" s="4">
        <v>32</v>
      </c>
      <c r="K872" s="3" t="s">
        <v>745</v>
      </c>
      <c r="L872" s="4">
        <v>12900864</v>
      </c>
      <c r="M872" s="1">
        <f>O872*J872*K872</f>
        <v>839846.24640000006</v>
      </c>
      <c r="N872" s="3"/>
      <c r="O872" s="2">
        <f>L872/J872*(1-K872)</f>
        <v>374931.35999999999</v>
      </c>
    </row>
    <row r="873" ht="14.25">
      <c r="A873" s="3" t="s">
        <v>653</v>
      </c>
      <c r="B873" s="3" t="s">
        <v>411</v>
      </c>
      <c r="C873" s="3" t="s">
        <v>754</v>
      </c>
      <c r="D873" s="3" t="s">
        <v>17</v>
      </c>
      <c r="E873" s="3" t="s">
        <v>755</v>
      </c>
      <c r="F873" s="3" t="s">
        <v>19</v>
      </c>
      <c r="G873" s="4">
        <v>0</v>
      </c>
      <c r="H873" s="4">
        <v>3186000</v>
      </c>
      <c r="I873" s="3" t="s">
        <v>162</v>
      </c>
      <c r="J873" s="4">
        <v>60</v>
      </c>
      <c r="K873" s="3" t="s">
        <v>21</v>
      </c>
      <c r="L873" s="4">
        <v>486000</v>
      </c>
      <c r="M873" s="1">
        <f>O873*J873*K873</f>
        <v>0</v>
      </c>
      <c r="N873" s="3"/>
      <c r="O873" s="2">
        <f>L873/J873*(1-K873)</f>
        <v>8100</v>
      </c>
    </row>
    <row r="874" ht="14.25">
      <c r="A874" s="3" t="s">
        <v>653</v>
      </c>
      <c r="B874" s="3" t="s">
        <v>411</v>
      </c>
      <c r="C874" s="3" t="s">
        <v>754</v>
      </c>
      <c r="D874" s="3" t="s">
        <v>17</v>
      </c>
      <c r="E874" s="3" t="s">
        <v>755</v>
      </c>
      <c r="F874" s="3" t="s">
        <v>19</v>
      </c>
      <c r="G874" s="4">
        <v>0</v>
      </c>
      <c r="H874" s="4">
        <v>3186000</v>
      </c>
      <c r="I874" s="3" t="s">
        <v>32</v>
      </c>
      <c r="J874" s="4">
        <v>48</v>
      </c>
      <c r="K874" s="3" t="s">
        <v>21</v>
      </c>
      <c r="L874" s="4">
        <v>1224000</v>
      </c>
      <c r="M874" s="1">
        <f>O874*J874*K874</f>
        <v>0</v>
      </c>
      <c r="N874" s="3"/>
      <c r="O874" s="2">
        <f>L874/J874*(1-K874)</f>
        <v>25500</v>
      </c>
    </row>
    <row r="875" ht="14.25">
      <c r="A875" s="3" t="s">
        <v>653</v>
      </c>
      <c r="B875" s="3" t="s">
        <v>411</v>
      </c>
      <c r="C875" s="3" t="s">
        <v>754</v>
      </c>
      <c r="D875" s="3" t="s">
        <v>17</v>
      </c>
      <c r="E875" s="3" t="s">
        <v>755</v>
      </c>
      <c r="F875" s="3" t="s">
        <v>19</v>
      </c>
      <c r="G875" s="4">
        <v>0</v>
      </c>
      <c r="H875" s="4">
        <v>3186000</v>
      </c>
      <c r="I875" s="3" t="s">
        <v>361</v>
      </c>
      <c r="J875" s="4">
        <v>12</v>
      </c>
      <c r="K875" s="3" t="s">
        <v>21</v>
      </c>
      <c r="L875" s="4">
        <v>552000</v>
      </c>
      <c r="M875" s="1">
        <f>O875*J875*K875</f>
        <v>0</v>
      </c>
      <c r="N875" s="3"/>
      <c r="O875" s="2">
        <f>L875/J875*(1-K875)</f>
        <v>46000</v>
      </c>
    </row>
    <row r="876" ht="14.25">
      <c r="A876" s="3" t="s">
        <v>653</v>
      </c>
      <c r="B876" s="3" t="s">
        <v>411</v>
      </c>
      <c r="C876" s="3" t="s">
        <v>754</v>
      </c>
      <c r="D876" s="3" t="s">
        <v>17</v>
      </c>
      <c r="E876" s="3" t="s">
        <v>755</v>
      </c>
      <c r="F876" s="3" t="s">
        <v>19</v>
      </c>
      <c r="G876" s="4">
        <v>0</v>
      </c>
      <c r="H876" s="4">
        <v>3186000</v>
      </c>
      <c r="I876" s="3" t="s">
        <v>161</v>
      </c>
      <c r="J876" s="4">
        <v>48</v>
      </c>
      <c r="K876" s="3" t="s">
        <v>21</v>
      </c>
      <c r="L876" s="4">
        <v>300000</v>
      </c>
      <c r="M876" s="1">
        <f>O876*J876*K876</f>
        <v>0</v>
      </c>
      <c r="N876" s="3"/>
      <c r="O876" s="2">
        <f>L876/J876*(1-K876)</f>
        <v>6250</v>
      </c>
    </row>
    <row r="877" ht="14.25">
      <c r="A877" s="3" t="s">
        <v>653</v>
      </c>
      <c r="B877" s="3" t="s">
        <v>411</v>
      </c>
      <c r="C877" s="3" t="s">
        <v>754</v>
      </c>
      <c r="D877" s="3" t="s">
        <v>17</v>
      </c>
      <c r="E877" s="3" t="s">
        <v>755</v>
      </c>
      <c r="F877" s="3" t="s">
        <v>19</v>
      </c>
      <c r="G877" s="4">
        <v>0</v>
      </c>
      <c r="H877" s="4">
        <v>3186000</v>
      </c>
      <c r="I877" s="3" t="s">
        <v>108</v>
      </c>
      <c r="J877" s="4">
        <v>24</v>
      </c>
      <c r="K877" s="3" t="s">
        <v>21</v>
      </c>
      <c r="L877" s="4">
        <v>624000</v>
      </c>
      <c r="M877" s="1">
        <f>O877*J877*K877</f>
        <v>0</v>
      </c>
      <c r="N877" s="3"/>
      <c r="O877" s="2">
        <f>L877/J877*(1-K877)</f>
        <v>26000</v>
      </c>
    </row>
    <row r="878" ht="14.25">
      <c r="A878" s="3" t="s">
        <v>653</v>
      </c>
      <c r="B878" s="3" t="s">
        <v>739</v>
      </c>
      <c r="C878" s="3" t="s">
        <v>756</v>
      </c>
      <c r="D878" s="3" t="s">
        <v>17</v>
      </c>
      <c r="E878" s="3" t="s">
        <v>230</v>
      </c>
      <c r="F878" s="3" t="s">
        <v>19</v>
      </c>
      <c r="G878" s="4">
        <v>0</v>
      </c>
      <c r="H878" s="4">
        <v>804000</v>
      </c>
      <c r="I878" s="3" t="s">
        <v>419</v>
      </c>
      <c r="J878" s="4">
        <v>24</v>
      </c>
      <c r="K878" s="3" t="s">
        <v>21</v>
      </c>
      <c r="L878" s="4">
        <v>804000</v>
      </c>
      <c r="M878" s="1">
        <f>O878*J878*K878</f>
        <v>0</v>
      </c>
      <c r="N878" s="3"/>
      <c r="O878" s="2">
        <f>L878/J878*(1-K878)</f>
        <v>33500</v>
      </c>
    </row>
    <row r="879" ht="14.25">
      <c r="A879" s="3" t="s">
        <v>304</v>
      </c>
      <c r="B879" s="3" t="s">
        <v>304</v>
      </c>
      <c r="C879" s="3" t="s">
        <v>757</v>
      </c>
      <c r="D879" s="3" t="s">
        <v>17</v>
      </c>
      <c r="E879" s="3" t="s">
        <v>34</v>
      </c>
      <c r="F879" s="3" t="s">
        <v>19</v>
      </c>
      <c r="G879" s="4">
        <v>0</v>
      </c>
      <c r="H879" s="4">
        <v>19774454</v>
      </c>
      <c r="I879" s="3" t="s">
        <v>124</v>
      </c>
      <c r="J879" s="4">
        <v>12</v>
      </c>
      <c r="K879" s="3" t="s">
        <v>21</v>
      </c>
      <c r="L879" s="4">
        <v>264000</v>
      </c>
      <c r="M879" s="1">
        <f>O879*J879*K879</f>
        <v>0</v>
      </c>
      <c r="N879" s="3"/>
      <c r="O879" s="2">
        <f>L879/J879*(1-K879)</f>
        <v>22000</v>
      </c>
    </row>
    <row r="880" ht="14.25">
      <c r="A880" s="3" t="s">
        <v>304</v>
      </c>
      <c r="B880" s="3" t="s">
        <v>304</v>
      </c>
      <c r="C880" s="3" t="s">
        <v>757</v>
      </c>
      <c r="D880" s="3" t="s">
        <v>17</v>
      </c>
      <c r="E880" s="3" t="s">
        <v>34</v>
      </c>
      <c r="F880" s="3" t="s">
        <v>19</v>
      </c>
      <c r="G880" s="4">
        <v>0</v>
      </c>
      <c r="H880" s="4">
        <v>19774454</v>
      </c>
      <c r="I880" s="3" t="s">
        <v>37</v>
      </c>
      <c r="J880" s="4">
        <v>12</v>
      </c>
      <c r="K880" s="3" t="s">
        <v>21</v>
      </c>
      <c r="L880" s="4">
        <v>264000</v>
      </c>
      <c r="M880" s="1">
        <f>O880*J880*K880</f>
        <v>0</v>
      </c>
      <c r="N880" s="3"/>
      <c r="O880" s="2">
        <f>L880/J880*(1-K880)</f>
        <v>22000</v>
      </c>
    </row>
    <row r="881" ht="14.25">
      <c r="A881" s="3" t="s">
        <v>304</v>
      </c>
      <c r="B881" s="3" t="s">
        <v>304</v>
      </c>
      <c r="C881" s="3" t="s">
        <v>757</v>
      </c>
      <c r="D881" s="3" t="s">
        <v>17</v>
      </c>
      <c r="E881" s="3" t="s">
        <v>34</v>
      </c>
      <c r="F881" s="3" t="s">
        <v>19</v>
      </c>
      <c r="G881" s="4">
        <v>0</v>
      </c>
      <c r="H881" s="4">
        <v>19774454</v>
      </c>
      <c r="I881" s="3" t="s">
        <v>39</v>
      </c>
      <c r="J881" s="4">
        <v>1</v>
      </c>
      <c r="K881" s="3" t="s">
        <v>21</v>
      </c>
      <c r="L881" s="4">
        <v>3300000</v>
      </c>
      <c r="M881" s="1">
        <f>O881*J881*K881</f>
        <v>0</v>
      </c>
      <c r="N881" s="3"/>
      <c r="O881" s="2">
        <f>L881/J881*(1-K881)</f>
        <v>3300000</v>
      </c>
    </row>
    <row r="882" ht="14.25">
      <c r="A882" s="3" t="s">
        <v>304</v>
      </c>
      <c r="B882" s="3" t="s">
        <v>304</v>
      </c>
      <c r="C882" s="3" t="s">
        <v>757</v>
      </c>
      <c r="D882" s="3" t="s">
        <v>17</v>
      </c>
      <c r="E882" s="3" t="s">
        <v>34</v>
      </c>
      <c r="F882" s="3" t="s">
        <v>19</v>
      </c>
      <c r="G882" s="4">
        <v>0</v>
      </c>
      <c r="H882" s="4">
        <v>19774454</v>
      </c>
      <c r="I882" s="3" t="s">
        <v>121</v>
      </c>
      <c r="J882" s="4">
        <v>1</v>
      </c>
      <c r="K882" s="3" t="s">
        <v>21</v>
      </c>
      <c r="L882" s="4">
        <v>3300000</v>
      </c>
      <c r="M882" s="1">
        <f>O882*J882*K882</f>
        <v>0</v>
      </c>
      <c r="N882" s="3"/>
      <c r="O882" s="2">
        <f>L882/J882*(1-K882)</f>
        <v>3300000</v>
      </c>
    </row>
    <row r="883" ht="14.25">
      <c r="A883" s="3" t="s">
        <v>304</v>
      </c>
      <c r="B883" s="3" t="s">
        <v>304</v>
      </c>
      <c r="C883" s="3" t="s">
        <v>757</v>
      </c>
      <c r="D883" s="3" t="s">
        <v>17</v>
      </c>
      <c r="E883" s="3" t="s">
        <v>34</v>
      </c>
      <c r="F883" s="3" t="s">
        <v>19</v>
      </c>
      <c r="G883" s="4">
        <v>0</v>
      </c>
      <c r="H883" s="4">
        <v>19774454</v>
      </c>
      <c r="I883" s="3" t="s">
        <v>758</v>
      </c>
      <c r="J883" s="4">
        <v>1</v>
      </c>
      <c r="K883" s="3" t="s">
        <v>21</v>
      </c>
      <c r="L883" s="4">
        <v>3000000</v>
      </c>
      <c r="M883" s="1">
        <f>O883*J883*K883</f>
        <v>0</v>
      </c>
      <c r="N883" s="3"/>
      <c r="O883" s="2">
        <f>L883/J883*(1-K883)</f>
        <v>3000000</v>
      </c>
    </row>
    <row r="884" ht="14.25">
      <c r="A884" s="3" t="s">
        <v>304</v>
      </c>
      <c r="B884" s="3" t="s">
        <v>304</v>
      </c>
      <c r="C884" s="3" t="s">
        <v>757</v>
      </c>
      <c r="D884" s="3" t="s">
        <v>17</v>
      </c>
      <c r="E884" s="3" t="s">
        <v>34</v>
      </c>
      <c r="F884" s="3" t="s">
        <v>19</v>
      </c>
      <c r="G884" s="4">
        <v>0</v>
      </c>
      <c r="H884" s="4">
        <v>19774454</v>
      </c>
      <c r="I884" s="3" t="s">
        <v>125</v>
      </c>
      <c r="J884" s="4">
        <v>9</v>
      </c>
      <c r="K884" s="3" t="s">
        <v>21</v>
      </c>
      <c r="L884" s="4">
        <v>2284254</v>
      </c>
      <c r="M884" s="1">
        <f>O884*J884*K884</f>
        <v>0</v>
      </c>
      <c r="N884" s="3"/>
      <c r="O884" s="2">
        <f>L884/J884*(1-K884)</f>
        <v>253806</v>
      </c>
    </row>
    <row r="885" ht="14.25">
      <c r="A885" s="3" t="s">
        <v>304</v>
      </c>
      <c r="B885" s="3" t="s">
        <v>304</v>
      </c>
      <c r="C885" s="3" t="s">
        <v>757</v>
      </c>
      <c r="D885" s="3" t="s">
        <v>17</v>
      </c>
      <c r="E885" s="3" t="s">
        <v>34</v>
      </c>
      <c r="F885" s="3" t="s">
        <v>19</v>
      </c>
      <c r="G885" s="4">
        <v>0</v>
      </c>
      <c r="H885" s="4">
        <v>19774454</v>
      </c>
      <c r="I885" s="3" t="s">
        <v>395</v>
      </c>
      <c r="J885" s="4">
        <v>12</v>
      </c>
      <c r="K885" s="3" t="s">
        <v>21</v>
      </c>
      <c r="L885" s="4">
        <v>1500000</v>
      </c>
      <c r="M885" s="1">
        <f>O885*J885*K885</f>
        <v>0</v>
      </c>
      <c r="N885" s="3"/>
      <c r="O885" s="2">
        <f>L885/J885*(1-K885)</f>
        <v>125000</v>
      </c>
    </row>
    <row r="886" ht="14.25">
      <c r="A886" s="3" t="s">
        <v>304</v>
      </c>
      <c r="B886" s="3" t="s">
        <v>304</v>
      </c>
      <c r="C886" s="3" t="s">
        <v>757</v>
      </c>
      <c r="D886" s="3" t="s">
        <v>17</v>
      </c>
      <c r="E886" s="3" t="s">
        <v>34</v>
      </c>
      <c r="F886" s="3" t="s">
        <v>19</v>
      </c>
      <c r="G886" s="4">
        <v>0</v>
      </c>
      <c r="H886" s="4">
        <v>19774454</v>
      </c>
      <c r="I886" s="3" t="s">
        <v>127</v>
      </c>
      <c r="J886" s="4">
        <v>6</v>
      </c>
      <c r="K886" s="3" t="s">
        <v>275</v>
      </c>
      <c r="L886" s="4">
        <v>1083000</v>
      </c>
      <c r="M886" s="1">
        <f>O886*J886*K886</f>
        <v>79708.800000000003</v>
      </c>
      <c r="N886" s="3"/>
      <c r="O886" s="2">
        <f>L886/J886*(1-K886)</f>
        <v>166060</v>
      </c>
    </row>
    <row r="887" ht="14.25">
      <c r="A887" s="3" t="s">
        <v>304</v>
      </c>
      <c r="B887" s="3" t="s">
        <v>304</v>
      </c>
      <c r="C887" s="3" t="s">
        <v>757</v>
      </c>
      <c r="D887" s="3" t="s">
        <v>17</v>
      </c>
      <c r="E887" s="3" t="s">
        <v>34</v>
      </c>
      <c r="F887" s="3" t="s">
        <v>19</v>
      </c>
      <c r="G887" s="4">
        <v>0</v>
      </c>
      <c r="H887" s="4">
        <v>19774454</v>
      </c>
      <c r="I887" s="3" t="s">
        <v>592</v>
      </c>
      <c r="J887" s="4">
        <v>20</v>
      </c>
      <c r="K887" s="3" t="s">
        <v>21</v>
      </c>
      <c r="L887" s="4">
        <v>700000</v>
      </c>
      <c r="M887" s="1">
        <f>O887*J887*K887</f>
        <v>0</v>
      </c>
      <c r="N887" s="3"/>
      <c r="O887" s="2">
        <f>L887/J887*(1-K887)</f>
        <v>35000</v>
      </c>
    </row>
    <row r="888" ht="14.25">
      <c r="A888" s="3" t="s">
        <v>304</v>
      </c>
      <c r="B888" s="3" t="s">
        <v>304</v>
      </c>
      <c r="C888" s="3" t="s">
        <v>757</v>
      </c>
      <c r="D888" s="3" t="s">
        <v>17</v>
      </c>
      <c r="E888" s="3" t="s">
        <v>34</v>
      </c>
      <c r="F888" s="3" t="s">
        <v>19</v>
      </c>
      <c r="G888" s="4">
        <v>0</v>
      </c>
      <c r="H888" s="4">
        <v>19774454</v>
      </c>
      <c r="I888" s="3" t="s">
        <v>36</v>
      </c>
      <c r="J888" s="4">
        <v>4</v>
      </c>
      <c r="K888" s="3" t="s">
        <v>275</v>
      </c>
      <c r="L888" s="4">
        <v>790000</v>
      </c>
      <c r="M888" s="1">
        <f>O888*J888*K888</f>
        <v>58144</v>
      </c>
      <c r="N888" s="3"/>
      <c r="O888" s="2">
        <f>L888/J888*(1-K888)</f>
        <v>181700</v>
      </c>
    </row>
    <row r="889" ht="14.25">
      <c r="A889" s="3" t="s">
        <v>304</v>
      </c>
      <c r="B889" s="3" t="s">
        <v>304</v>
      </c>
      <c r="C889" s="3" t="s">
        <v>757</v>
      </c>
      <c r="D889" s="3" t="s">
        <v>17</v>
      </c>
      <c r="E889" s="3" t="s">
        <v>34</v>
      </c>
      <c r="F889" s="3" t="s">
        <v>19</v>
      </c>
      <c r="G889" s="4">
        <v>0</v>
      </c>
      <c r="H889" s="4">
        <v>19774454</v>
      </c>
      <c r="I889" s="3" t="s">
        <v>129</v>
      </c>
      <c r="J889" s="4">
        <v>40</v>
      </c>
      <c r="K889" s="3" t="s">
        <v>21</v>
      </c>
      <c r="L889" s="4">
        <v>2949040</v>
      </c>
      <c r="M889" s="1">
        <f>O889*J889*K889</f>
        <v>0</v>
      </c>
      <c r="N889" s="3"/>
      <c r="O889" s="2">
        <f>L889/J889*(1-K889)</f>
        <v>73726</v>
      </c>
    </row>
    <row r="890" ht="14.25">
      <c r="A890" s="3" t="s">
        <v>304</v>
      </c>
      <c r="B890" s="3" t="s">
        <v>304</v>
      </c>
      <c r="C890" s="3" t="s">
        <v>757</v>
      </c>
      <c r="D890" s="3" t="s">
        <v>17</v>
      </c>
      <c r="E890" s="3" t="s">
        <v>34</v>
      </c>
      <c r="F890" s="3" t="s">
        <v>19</v>
      </c>
      <c r="G890" s="4">
        <v>0</v>
      </c>
      <c r="H890" s="4">
        <v>19774454</v>
      </c>
      <c r="I890" s="3" t="s">
        <v>591</v>
      </c>
      <c r="J890" s="4">
        <v>2</v>
      </c>
      <c r="K890" s="3" t="s">
        <v>21</v>
      </c>
      <c r="L890" s="4">
        <v>490000</v>
      </c>
      <c r="M890" s="1">
        <f>O890*J890*K890</f>
        <v>0</v>
      </c>
      <c r="N890" s="3"/>
      <c r="O890" s="2">
        <f>L890/J890*(1-K890)</f>
        <v>245000</v>
      </c>
    </row>
    <row r="891" ht="14.25">
      <c r="A891" s="3" t="s">
        <v>304</v>
      </c>
      <c r="B891" s="3" t="s">
        <v>304</v>
      </c>
      <c r="C891" s="3" t="s">
        <v>759</v>
      </c>
      <c r="D891" s="3" t="s">
        <v>17</v>
      </c>
      <c r="E891" s="3" t="s">
        <v>34</v>
      </c>
      <c r="F891" s="3" t="s">
        <v>19</v>
      </c>
      <c r="G891" s="4">
        <v>0</v>
      </c>
      <c r="H891" s="4">
        <v>5647856</v>
      </c>
      <c r="I891" s="3" t="s">
        <v>589</v>
      </c>
      <c r="J891" s="4">
        <v>1</v>
      </c>
      <c r="K891" s="3" t="s">
        <v>21</v>
      </c>
      <c r="L891" s="4">
        <v>220000</v>
      </c>
      <c r="M891" s="1">
        <f>O891*J891*K891</f>
        <v>0</v>
      </c>
      <c r="N891" s="3"/>
      <c r="O891" s="2">
        <f>L891/J891*(1-K891)</f>
        <v>220000</v>
      </c>
    </row>
    <row r="892" ht="14.25">
      <c r="A892" s="3" t="s">
        <v>304</v>
      </c>
      <c r="B892" s="3" t="s">
        <v>304</v>
      </c>
      <c r="C892" s="3" t="s">
        <v>759</v>
      </c>
      <c r="D892" s="3" t="s">
        <v>17</v>
      </c>
      <c r="E892" s="3" t="s">
        <v>34</v>
      </c>
      <c r="F892" s="3" t="s">
        <v>19</v>
      </c>
      <c r="G892" s="4">
        <v>0</v>
      </c>
      <c r="H892" s="4">
        <v>5647856</v>
      </c>
      <c r="I892" s="3" t="s">
        <v>32</v>
      </c>
      <c r="J892" s="4">
        <v>24</v>
      </c>
      <c r="K892" s="3" t="s">
        <v>21</v>
      </c>
      <c r="L892" s="4">
        <v>540000</v>
      </c>
      <c r="M892" s="1">
        <f>O892*J892*K892</f>
        <v>0</v>
      </c>
      <c r="N892" s="3"/>
      <c r="O892" s="2">
        <f>L892/J892*(1-K892)</f>
        <v>22500</v>
      </c>
    </row>
    <row r="893" ht="14.25">
      <c r="A893" s="3" t="s">
        <v>304</v>
      </c>
      <c r="B893" s="3" t="s">
        <v>304</v>
      </c>
      <c r="C893" s="3" t="s">
        <v>759</v>
      </c>
      <c r="D893" s="3" t="s">
        <v>17</v>
      </c>
      <c r="E893" s="3" t="s">
        <v>34</v>
      </c>
      <c r="F893" s="3" t="s">
        <v>19</v>
      </c>
      <c r="G893" s="4">
        <v>0</v>
      </c>
      <c r="H893" s="4">
        <v>5647856</v>
      </c>
      <c r="I893" s="3" t="s">
        <v>201</v>
      </c>
      <c r="J893" s="4">
        <v>8</v>
      </c>
      <c r="K893" s="3" t="s">
        <v>21</v>
      </c>
      <c r="L893" s="4">
        <v>247480</v>
      </c>
      <c r="M893" s="1">
        <f>O893*J893*K893</f>
        <v>0</v>
      </c>
      <c r="N893" s="3"/>
      <c r="O893" s="2">
        <f>L893/J893*(1-K893)</f>
        <v>30935</v>
      </c>
    </row>
    <row r="894" ht="14.25">
      <c r="A894" s="3" t="s">
        <v>304</v>
      </c>
      <c r="B894" s="3" t="s">
        <v>304</v>
      </c>
      <c r="C894" s="3" t="s">
        <v>759</v>
      </c>
      <c r="D894" s="3" t="s">
        <v>17</v>
      </c>
      <c r="E894" s="3" t="s">
        <v>34</v>
      </c>
      <c r="F894" s="3" t="s">
        <v>19</v>
      </c>
      <c r="G894" s="4">
        <v>0</v>
      </c>
      <c r="H894" s="4">
        <v>5647856</v>
      </c>
      <c r="I894" s="3" t="s">
        <v>162</v>
      </c>
      <c r="J894" s="4">
        <v>24</v>
      </c>
      <c r="K894" s="3" t="s">
        <v>21</v>
      </c>
      <c r="L894" s="4">
        <v>178200</v>
      </c>
      <c r="M894" s="1">
        <f>O894*J894*K894</f>
        <v>0</v>
      </c>
      <c r="N894" s="3"/>
      <c r="O894" s="2">
        <f>L894/J894*(1-K894)</f>
        <v>7425</v>
      </c>
    </row>
    <row r="895" ht="14.25">
      <c r="A895" s="3" t="s">
        <v>304</v>
      </c>
      <c r="B895" s="3" t="s">
        <v>304</v>
      </c>
      <c r="C895" s="3" t="s">
        <v>759</v>
      </c>
      <c r="D895" s="3" t="s">
        <v>17</v>
      </c>
      <c r="E895" s="3" t="s">
        <v>34</v>
      </c>
      <c r="F895" s="3" t="s">
        <v>19</v>
      </c>
      <c r="G895" s="4">
        <v>0</v>
      </c>
      <c r="H895" s="4">
        <v>5647856</v>
      </c>
      <c r="I895" s="3" t="s">
        <v>55</v>
      </c>
      <c r="J895" s="4">
        <v>4</v>
      </c>
      <c r="K895" s="3" t="s">
        <v>275</v>
      </c>
      <c r="L895" s="4">
        <v>882800</v>
      </c>
      <c r="M895" s="1">
        <f>O895*J895*K895</f>
        <v>64974.080000000002</v>
      </c>
      <c r="N895" s="3"/>
      <c r="O895" s="2">
        <f>L895/J895*(1-K895)</f>
        <v>203044</v>
      </c>
    </row>
    <row r="896" ht="14.25">
      <c r="A896" s="3" t="s">
        <v>304</v>
      </c>
      <c r="B896" s="3" t="s">
        <v>304</v>
      </c>
      <c r="C896" s="3" t="s">
        <v>759</v>
      </c>
      <c r="D896" s="3" t="s">
        <v>17</v>
      </c>
      <c r="E896" s="3" t="s">
        <v>34</v>
      </c>
      <c r="F896" s="3" t="s">
        <v>19</v>
      </c>
      <c r="G896" s="4">
        <v>0</v>
      </c>
      <c r="H896" s="4">
        <v>5647856</v>
      </c>
      <c r="I896" s="3" t="s">
        <v>35</v>
      </c>
      <c r="J896" s="4">
        <v>1</v>
      </c>
      <c r="K896" s="3" t="s">
        <v>21</v>
      </c>
      <c r="L896" s="4">
        <v>3650000</v>
      </c>
      <c r="M896" s="1">
        <f>O896*J896*K896</f>
        <v>0</v>
      </c>
      <c r="N896" s="3"/>
      <c r="O896" s="2">
        <f>L896/J896*(1-K896)</f>
        <v>3650000</v>
      </c>
    </row>
    <row r="897" ht="14.25">
      <c r="A897" s="3" t="s">
        <v>304</v>
      </c>
      <c r="B897" s="3" t="s">
        <v>421</v>
      </c>
      <c r="C897" s="3" t="s">
        <v>760</v>
      </c>
      <c r="D897" s="3" t="s">
        <v>17</v>
      </c>
      <c r="E897" s="3" t="s">
        <v>369</v>
      </c>
      <c r="F897" s="3" t="s">
        <v>19</v>
      </c>
      <c r="G897" s="4">
        <v>0</v>
      </c>
      <c r="H897" s="4">
        <v>650000</v>
      </c>
      <c r="I897" s="3" t="s">
        <v>72</v>
      </c>
      <c r="J897" s="4">
        <v>1</v>
      </c>
      <c r="K897" s="3" t="s">
        <v>21</v>
      </c>
      <c r="L897" s="4">
        <v>650000</v>
      </c>
      <c r="M897" s="1">
        <f>O897*J897*K897</f>
        <v>0</v>
      </c>
      <c r="N897" s="3"/>
      <c r="O897" s="2">
        <f>L897/J897*(1-K897)</f>
        <v>650000</v>
      </c>
    </row>
    <row r="898" ht="14.25">
      <c r="A898" s="3" t="s">
        <v>304</v>
      </c>
      <c r="B898" s="3" t="s">
        <v>761</v>
      </c>
      <c r="C898" s="3" t="s">
        <v>762</v>
      </c>
      <c r="D898" s="3" t="s">
        <v>17</v>
      </c>
      <c r="E898" s="3" t="s">
        <v>230</v>
      </c>
      <c r="F898" s="3" t="s">
        <v>19</v>
      </c>
      <c r="G898" s="4">
        <v>0</v>
      </c>
      <c r="H898" s="4">
        <v>1460000</v>
      </c>
      <c r="I898" s="3" t="s">
        <v>393</v>
      </c>
      <c r="J898" s="4">
        <v>2</v>
      </c>
      <c r="K898" s="3" t="s">
        <v>21</v>
      </c>
      <c r="L898" s="4">
        <v>500000</v>
      </c>
      <c r="M898" s="1">
        <f>O898*J898*K898</f>
        <v>0</v>
      </c>
      <c r="N898" s="3"/>
      <c r="O898" s="2">
        <f>L898/J898*(1-K898)</f>
        <v>250000</v>
      </c>
    </row>
    <row r="899" ht="14.25">
      <c r="A899" s="3" t="s">
        <v>304</v>
      </c>
      <c r="B899" s="3" t="s">
        <v>761</v>
      </c>
      <c r="C899" s="3" t="s">
        <v>762</v>
      </c>
      <c r="D899" s="3" t="s">
        <v>17</v>
      </c>
      <c r="E899" s="3" t="s">
        <v>230</v>
      </c>
      <c r="F899" s="3" t="s">
        <v>19</v>
      </c>
      <c r="G899" s="4">
        <v>0</v>
      </c>
      <c r="H899" s="4">
        <v>1460000</v>
      </c>
      <c r="I899" s="3" t="s">
        <v>29</v>
      </c>
      <c r="J899" s="4">
        <v>2</v>
      </c>
      <c r="K899" s="3" t="s">
        <v>21</v>
      </c>
      <c r="L899" s="4">
        <v>960000</v>
      </c>
      <c r="M899" s="1">
        <f>O899*J899*K899</f>
        <v>0</v>
      </c>
      <c r="N899" s="3"/>
      <c r="O899" s="2">
        <f>L899/J899*(1-K899)</f>
        <v>480000</v>
      </c>
    </row>
    <row r="900" ht="14.25">
      <c r="A900" s="3" t="s">
        <v>304</v>
      </c>
      <c r="B900" s="3" t="s">
        <v>304</v>
      </c>
      <c r="C900" s="3" t="s">
        <v>763</v>
      </c>
      <c r="D900" s="3" t="s">
        <v>17</v>
      </c>
      <c r="E900" s="3" t="s">
        <v>31</v>
      </c>
      <c r="F900" s="3" t="s">
        <v>19</v>
      </c>
      <c r="G900" s="4">
        <v>0</v>
      </c>
      <c r="H900" s="4">
        <v>1104000</v>
      </c>
      <c r="I900" s="3" t="s">
        <v>207</v>
      </c>
      <c r="J900" s="4">
        <v>6</v>
      </c>
      <c r="K900" s="3" t="s">
        <v>21</v>
      </c>
      <c r="L900" s="4">
        <v>192000</v>
      </c>
      <c r="M900" s="1">
        <f>O900*J900*K900</f>
        <v>0</v>
      </c>
      <c r="N900" s="3"/>
      <c r="O900" s="2">
        <f>L900/J900*(1-K900)</f>
        <v>32000</v>
      </c>
    </row>
    <row r="901" ht="14.25">
      <c r="A901" s="3" t="s">
        <v>304</v>
      </c>
      <c r="B901" s="3" t="s">
        <v>304</v>
      </c>
      <c r="C901" s="3" t="s">
        <v>763</v>
      </c>
      <c r="D901" s="3" t="s">
        <v>17</v>
      </c>
      <c r="E901" s="3" t="s">
        <v>31</v>
      </c>
      <c r="F901" s="3" t="s">
        <v>19</v>
      </c>
      <c r="G901" s="4">
        <v>0</v>
      </c>
      <c r="H901" s="4">
        <v>1104000</v>
      </c>
      <c r="I901" s="3" t="s">
        <v>415</v>
      </c>
      <c r="J901" s="4">
        <v>12</v>
      </c>
      <c r="K901" s="3" t="s">
        <v>21</v>
      </c>
      <c r="L901" s="4">
        <v>432000</v>
      </c>
      <c r="M901" s="1">
        <f>O901*J901*K901</f>
        <v>0</v>
      </c>
      <c r="N901" s="3"/>
      <c r="O901" s="2">
        <f>L901/J901*(1-K901)</f>
        <v>36000</v>
      </c>
    </row>
    <row r="902" ht="14.25">
      <c r="A902" s="3" t="s">
        <v>304</v>
      </c>
      <c r="B902" s="3" t="s">
        <v>304</v>
      </c>
      <c r="C902" s="3" t="s">
        <v>763</v>
      </c>
      <c r="D902" s="3" t="s">
        <v>17</v>
      </c>
      <c r="E902" s="3" t="s">
        <v>31</v>
      </c>
      <c r="F902" s="3" t="s">
        <v>19</v>
      </c>
      <c r="G902" s="4">
        <v>0</v>
      </c>
      <c r="H902" s="4">
        <v>1104000</v>
      </c>
      <c r="I902" s="3" t="s">
        <v>484</v>
      </c>
      <c r="J902" s="4">
        <v>12</v>
      </c>
      <c r="K902" s="3" t="s">
        <v>21</v>
      </c>
      <c r="L902" s="4">
        <v>480000</v>
      </c>
      <c r="M902" s="1">
        <f>O902*J902*K902</f>
        <v>0</v>
      </c>
      <c r="N902" s="3"/>
      <c r="O902" s="2">
        <f>L902/J902*(1-K902)</f>
        <v>40000</v>
      </c>
    </row>
    <row r="903" ht="14.25">
      <c r="A903" s="3" t="s">
        <v>304</v>
      </c>
      <c r="B903" s="3" t="s">
        <v>304</v>
      </c>
      <c r="C903" s="3" t="s">
        <v>764</v>
      </c>
      <c r="D903" s="3" t="s">
        <v>17</v>
      </c>
      <c r="E903" s="3" t="s">
        <v>765</v>
      </c>
      <c r="F903" s="3" t="s">
        <v>19</v>
      </c>
      <c r="G903" s="4">
        <v>0</v>
      </c>
      <c r="H903" s="4">
        <v>588600</v>
      </c>
      <c r="I903" s="3" t="s">
        <v>404</v>
      </c>
      <c r="J903" s="4">
        <v>1</v>
      </c>
      <c r="K903" s="3" t="s">
        <v>355</v>
      </c>
      <c r="L903" s="4">
        <v>654000</v>
      </c>
      <c r="M903" s="1">
        <f>O903*J903*K903</f>
        <v>58860</v>
      </c>
      <c r="N903" s="3"/>
      <c r="O903" s="2">
        <f>L903/J903*(1-K903)</f>
        <v>588600</v>
      </c>
    </row>
    <row r="904" ht="14.25">
      <c r="A904" s="3" t="s">
        <v>304</v>
      </c>
      <c r="B904" s="3" t="s">
        <v>766</v>
      </c>
      <c r="C904" s="3" t="s">
        <v>767</v>
      </c>
      <c r="D904" s="3" t="s">
        <v>17</v>
      </c>
      <c r="E904" s="3" t="s">
        <v>768</v>
      </c>
      <c r="F904" s="3" t="s">
        <v>19</v>
      </c>
      <c r="G904" s="4">
        <v>0</v>
      </c>
      <c r="H904" s="4">
        <v>10358000</v>
      </c>
      <c r="I904" s="3" t="s">
        <v>79</v>
      </c>
      <c r="J904" s="4">
        <v>7</v>
      </c>
      <c r="K904" s="3" t="s">
        <v>21</v>
      </c>
      <c r="L904" s="4">
        <v>4760000</v>
      </c>
      <c r="M904" s="1">
        <f>O904*J904*K904</f>
        <v>0</v>
      </c>
      <c r="N904" s="3"/>
      <c r="O904" s="2">
        <f>L904/J904*(1-K904)</f>
        <v>680000</v>
      </c>
    </row>
    <row r="905" ht="14.25">
      <c r="A905" s="3" t="s">
        <v>304</v>
      </c>
      <c r="B905" s="3" t="s">
        <v>766</v>
      </c>
      <c r="C905" s="3" t="s">
        <v>767</v>
      </c>
      <c r="D905" s="3" t="s">
        <v>17</v>
      </c>
      <c r="E905" s="3" t="s">
        <v>768</v>
      </c>
      <c r="F905" s="3" t="s">
        <v>19</v>
      </c>
      <c r="G905" s="4">
        <v>0</v>
      </c>
      <c r="H905" s="4">
        <v>10358000</v>
      </c>
      <c r="I905" s="3" t="s">
        <v>474</v>
      </c>
      <c r="J905" s="4">
        <v>4</v>
      </c>
      <c r="K905" s="3" t="s">
        <v>21</v>
      </c>
      <c r="L905" s="4">
        <v>1480000</v>
      </c>
      <c r="M905" s="1">
        <f>O905*J905*K905</f>
        <v>0</v>
      </c>
      <c r="N905" s="3"/>
      <c r="O905" s="2">
        <f>L905/J905*(1-K905)</f>
        <v>370000</v>
      </c>
    </row>
    <row r="906" ht="14.25">
      <c r="A906" s="3" t="s">
        <v>304</v>
      </c>
      <c r="B906" s="3" t="s">
        <v>766</v>
      </c>
      <c r="C906" s="3" t="s">
        <v>767</v>
      </c>
      <c r="D906" s="3" t="s">
        <v>17</v>
      </c>
      <c r="E906" s="3" t="s">
        <v>768</v>
      </c>
      <c r="F906" s="3" t="s">
        <v>19</v>
      </c>
      <c r="G906" s="4">
        <v>0</v>
      </c>
      <c r="H906" s="4">
        <v>10358000</v>
      </c>
      <c r="I906" s="3" t="s">
        <v>67</v>
      </c>
      <c r="J906" s="4">
        <v>4</v>
      </c>
      <c r="K906" s="3" t="s">
        <v>21</v>
      </c>
      <c r="L906" s="4">
        <v>1508000</v>
      </c>
      <c r="M906" s="1">
        <f>O906*J906*K906</f>
        <v>0</v>
      </c>
      <c r="N906" s="3"/>
      <c r="O906" s="2">
        <f>L906/J906*(1-K906)</f>
        <v>377000</v>
      </c>
    </row>
    <row r="907" ht="14.25">
      <c r="A907" s="3" t="s">
        <v>304</v>
      </c>
      <c r="B907" s="3" t="s">
        <v>766</v>
      </c>
      <c r="C907" s="3" t="s">
        <v>767</v>
      </c>
      <c r="D907" s="3" t="s">
        <v>17</v>
      </c>
      <c r="E907" s="3" t="s">
        <v>768</v>
      </c>
      <c r="F907" s="3" t="s">
        <v>19</v>
      </c>
      <c r="G907" s="4">
        <v>0</v>
      </c>
      <c r="H907" s="4">
        <v>10358000</v>
      </c>
      <c r="I907" s="3" t="s">
        <v>395</v>
      </c>
      <c r="J907" s="4">
        <v>6</v>
      </c>
      <c r="K907" s="3" t="s">
        <v>21</v>
      </c>
      <c r="L907" s="4">
        <v>840000</v>
      </c>
      <c r="M907" s="1">
        <f>O907*J907*K907</f>
        <v>0</v>
      </c>
      <c r="N907" s="3"/>
      <c r="O907" s="2">
        <f>L907/J907*(1-K907)</f>
        <v>140000</v>
      </c>
    </row>
    <row r="908" ht="14.25">
      <c r="A908" s="3" t="s">
        <v>304</v>
      </c>
      <c r="B908" s="3" t="s">
        <v>766</v>
      </c>
      <c r="C908" s="3" t="s">
        <v>767</v>
      </c>
      <c r="D908" s="3" t="s">
        <v>17</v>
      </c>
      <c r="E908" s="3" t="s">
        <v>768</v>
      </c>
      <c r="F908" s="3" t="s">
        <v>19</v>
      </c>
      <c r="G908" s="4">
        <v>0</v>
      </c>
      <c r="H908" s="4">
        <v>10358000</v>
      </c>
      <c r="I908" s="3" t="s">
        <v>504</v>
      </c>
      <c r="J908" s="4">
        <v>6</v>
      </c>
      <c r="K908" s="3" t="s">
        <v>21</v>
      </c>
      <c r="L908" s="4">
        <v>930000</v>
      </c>
      <c r="M908" s="1">
        <f>O908*J908*K908</f>
        <v>0</v>
      </c>
      <c r="N908" s="3"/>
      <c r="O908" s="2">
        <f>L908/J908*(1-K908)</f>
        <v>155000</v>
      </c>
    </row>
    <row r="909" ht="14.25">
      <c r="A909" s="3" t="s">
        <v>304</v>
      </c>
      <c r="B909" s="3" t="s">
        <v>766</v>
      </c>
      <c r="C909" s="3" t="s">
        <v>767</v>
      </c>
      <c r="D909" s="3" t="s">
        <v>17</v>
      </c>
      <c r="E909" s="3" t="s">
        <v>768</v>
      </c>
      <c r="F909" s="3" t="s">
        <v>19</v>
      </c>
      <c r="G909" s="4">
        <v>0</v>
      </c>
      <c r="H909" s="4">
        <v>10358000</v>
      </c>
      <c r="I909" s="3" t="s">
        <v>68</v>
      </c>
      <c r="J909" s="4">
        <v>20</v>
      </c>
      <c r="K909" s="3" t="s">
        <v>21</v>
      </c>
      <c r="L909" s="4">
        <v>840000</v>
      </c>
      <c r="M909" s="1">
        <f>O909*J909*K909</f>
        <v>0</v>
      </c>
      <c r="N909" s="3"/>
      <c r="O909" s="2">
        <f>L909/J909*(1-K909)</f>
        <v>42000</v>
      </c>
    </row>
    <row r="910" ht="14.25">
      <c r="A910" s="3" t="s">
        <v>304</v>
      </c>
      <c r="B910" s="3" t="s">
        <v>761</v>
      </c>
      <c r="C910" s="3" t="s">
        <v>769</v>
      </c>
      <c r="D910" s="3" t="s">
        <v>17</v>
      </c>
      <c r="E910" s="3" t="s">
        <v>770</v>
      </c>
      <c r="F910" s="3" t="s">
        <v>19</v>
      </c>
      <c r="G910" s="4">
        <v>0</v>
      </c>
      <c r="H910" s="4">
        <v>12290000</v>
      </c>
      <c r="I910" s="3" t="s">
        <v>39</v>
      </c>
      <c r="J910" s="4">
        <v>1</v>
      </c>
      <c r="K910" s="3" t="s">
        <v>21</v>
      </c>
      <c r="L910" s="4">
        <v>3800000</v>
      </c>
      <c r="M910" s="1">
        <f>O910*J910*K910</f>
        <v>0</v>
      </c>
      <c r="N910" s="3"/>
      <c r="O910" s="2">
        <f>L910/J910*(1-K910)</f>
        <v>3800000</v>
      </c>
    </row>
    <row r="911" ht="14.25">
      <c r="A911" s="3" t="s">
        <v>304</v>
      </c>
      <c r="B911" s="3" t="s">
        <v>761</v>
      </c>
      <c r="C911" s="3" t="s">
        <v>769</v>
      </c>
      <c r="D911" s="3" t="s">
        <v>17</v>
      </c>
      <c r="E911" s="3" t="s">
        <v>770</v>
      </c>
      <c r="F911" s="3" t="s">
        <v>19</v>
      </c>
      <c r="G911" s="4">
        <v>0</v>
      </c>
      <c r="H911" s="4">
        <v>12290000</v>
      </c>
      <c r="I911" s="3" t="s">
        <v>29</v>
      </c>
      <c r="J911" s="4">
        <v>5</v>
      </c>
      <c r="K911" s="3" t="s">
        <v>21</v>
      </c>
      <c r="L911" s="4">
        <v>2500000</v>
      </c>
      <c r="M911" s="1">
        <f>O911*J911*K911</f>
        <v>0</v>
      </c>
      <c r="N911" s="3"/>
      <c r="O911" s="2">
        <f>L911/J911*(1-K911)</f>
        <v>500000</v>
      </c>
    </row>
    <row r="912" ht="14.25">
      <c r="A912" s="3" t="s">
        <v>304</v>
      </c>
      <c r="B912" s="3" t="s">
        <v>761</v>
      </c>
      <c r="C912" s="3" t="s">
        <v>769</v>
      </c>
      <c r="D912" s="3" t="s">
        <v>17</v>
      </c>
      <c r="E912" s="3" t="s">
        <v>770</v>
      </c>
      <c r="F912" s="3" t="s">
        <v>19</v>
      </c>
      <c r="G912" s="4">
        <v>0</v>
      </c>
      <c r="H912" s="4">
        <v>12290000</v>
      </c>
      <c r="I912" s="3" t="s">
        <v>377</v>
      </c>
      <c r="J912" s="4">
        <v>24</v>
      </c>
      <c r="K912" s="3" t="s">
        <v>21</v>
      </c>
      <c r="L912" s="4">
        <v>648000</v>
      </c>
      <c r="M912" s="1">
        <f>O912*J912*K912</f>
        <v>0</v>
      </c>
      <c r="N912" s="3"/>
      <c r="O912" s="2">
        <f>L912/J912*(1-K912)</f>
        <v>27000</v>
      </c>
    </row>
    <row r="913" ht="14.25">
      <c r="A913" s="3" t="s">
        <v>304</v>
      </c>
      <c r="B913" s="3" t="s">
        <v>761</v>
      </c>
      <c r="C913" s="3" t="s">
        <v>769</v>
      </c>
      <c r="D913" s="3" t="s">
        <v>17</v>
      </c>
      <c r="E913" s="3" t="s">
        <v>770</v>
      </c>
      <c r="F913" s="3" t="s">
        <v>19</v>
      </c>
      <c r="G913" s="4">
        <v>0</v>
      </c>
      <c r="H913" s="4">
        <v>12290000</v>
      </c>
      <c r="I913" s="3" t="s">
        <v>188</v>
      </c>
      <c r="J913" s="4">
        <v>8</v>
      </c>
      <c r="K913" s="3" t="s">
        <v>21</v>
      </c>
      <c r="L913" s="4">
        <v>2080000</v>
      </c>
      <c r="M913" s="1">
        <f>O913*J913*K913</f>
        <v>0</v>
      </c>
      <c r="N913" s="3"/>
      <c r="O913" s="2">
        <f>L913/J913*(1-K913)</f>
        <v>260000</v>
      </c>
    </row>
    <row r="914" ht="14.25">
      <c r="A914" s="3" t="s">
        <v>304</v>
      </c>
      <c r="B914" s="3" t="s">
        <v>761</v>
      </c>
      <c r="C914" s="3" t="s">
        <v>769</v>
      </c>
      <c r="D914" s="3" t="s">
        <v>17</v>
      </c>
      <c r="E914" s="3" t="s">
        <v>770</v>
      </c>
      <c r="F914" s="3" t="s">
        <v>19</v>
      </c>
      <c r="G914" s="4">
        <v>0</v>
      </c>
      <c r="H914" s="4">
        <v>12290000</v>
      </c>
      <c r="I914" s="3" t="s">
        <v>126</v>
      </c>
      <c r="J914" s="4">
        <v>4</v>
      </c>
      <c r="K914" s="3" t="s">
        <v>21</v>
      </c>
      <c r="L914" s="4">
        <v>1000000</v>
      </c>
      <c r="M914" s="1">
        <f>O914*J914*K914</f>
        <v>0</v>
      </c>
      <c r="N914" s="3"/>
      <c r="O914" s="2">
        <f>L914/J914*(1-K914)</f>
        <v>250000</v>
      </c>
    </row>
    <row r="915" ht="14.25">
      <c r="A915" s="3" t="s">
        <v>304</v>
      </c>
      <c r="B915" s="3" t="s">
        <v>761</v>
      </c>
      <c r="C915" s="3" t="s">
        <v>769</v>
      </c>
      <c r="D915" s="3" t="s">
        <v>17</v>
      </c>
      <c r="E915" s="3" t="s">
        <v>770</v>
      </c>
      <c r="F915" s="3" t="s">
        <v>19</v>
      </c>
      <c r="G915" s="4">
        <v>0</v>
      </c>
      <c r="H915" s="4">
        <v>12290000</v>
      </c>
      <c r="I915" s="3" t="s">
        <v>67</v>
      </c>
      <c r="J915" s="4">
        <v>6</v>
      </c>
      <c r="K915" s="3" t="s">
        <v>21</v>
      </c>
      <c r="L915" s="4">
        <v>2262000</v>
      </c>
      <c r="M915" s="1">
        <f>O915*J915*K915</f>
        <v>0</v>
      </c>
      <c r="N915" s="3"/>
      <c r="O915" s="2">
        <f>L915/J915*(1-K915)</f>
        <v>377000</v>
      </c>
    </row>
    <row r="916" ht="14.25">
      <c r="A916" s="3" t="s">
        <v>304</v>
      </c>
      <c r="B916" s="3" t="s">
        <v>695</v>
      </c>
      <c r="C916" s="3" t="s">
        <v>771</v>
      </c>
      <c r="D916" s="3" t="s">
        <v>17</v>
      </c>
      <c r="E916" s="3" t="s">
        <v>772</v>
      </c>
      <c r="F916" s="3" t="s">
        <v>19</v>
      </c>
      <c r="G916" s="4">
        <v>0</v>
      </c>
      <c r="H916" s="4">
        <v>6121818</v>
      </c>
      <c r="I916" s="3" t="s">
        <v>243</v>
      </c>
      <c r="J916" s="4">
        <v>18</v>
      </c>
      <c r="K916" s="3" t="s">
        <v>745</v>
      </c>
      <c r="L916" s="4">
        <v>3380400</v>
      </c>
      <c r="M916" s="1">
        <f>O916*J916*K916</f>
        <v>220064.04000000001</v>
      </c>
      <c r="N916" s="3"/>
      <c r="O916" s="2">
        <f>L916/J916*(1-K916)</f>
        <v>174654</v>
      </c>
    </row>
    <row r="917" ht="14.25">
      <c r="A917" s="3" t="s">
        <v>304</v>
      </c>
      <c r="B917" s="3" t="s">
        <v>695</v>
      </c>
      <c r="C917" s="3" t="s">
        <v>771</v>
      </c>
      <c r="D917" s="3" t="s">
        <v>17</v>
      </c>
      <c r="E917" s="3" t="s">
        <v>772</v>
      </c>
      <c r="F917" s="3" t="s">
        <v>19</v>
      </c>
      <c r="G917" s="4">
        <v>0</v>
      </c>
      <c r="H917" s="4">
        <v>6121818</v>
      </c>
      <c r="I917" s="3" t="s">
        <v>746</v>
      </c>
      <c r="J917" s="4">
        <v>18</v>
      </c>
      <c r="K917" s="3" t="s">
        <v>745</v>
      </c>
      <c r="L917" s="4">
        <v>3202200</v>
      </c>
      <c r="M917" s="1">
        <f>O917*J917*K917</f>
        <v>208463.22000000003</v>
      </c>
      <c r="N917" s="3"/>
      <c r="O917" s="2">
        <f>L917/J917*(1-K917)</f>
        <v>165447</v>
      </c>
    </row>
    <row r="918" ht="14.25">
      <c r="A918" s="3" t="s">
        <v>304</v>
      </c>
      <c r="B918" s="3" t="s">
        <v>761</v>
      </c>
      <c r="C918" s="3" t="s">
        <v>773</v>
      </c>
      <c r="D918" s="3" t="s">
        <v>159</v>
      </c>
      <c r="E918" s="3" t="s">
        <v>53</v>
      </c>
      <c r="F918" s="3" t="s">
        <v>19</v>
      </c>
      <c r="G918" s="4">
        <v>5699520</v>
      </c>
      <c r="H918" s="4">
        <v>5699520</v>
      </c>
      <c r="I918" s="3" t="s">
        <v>67</v>
      </c>
      <c r="J918" s="4">
        <v>12</v>
      </c>
      <c r="K918" s="3" t="s">
        <v>774</v>
      </c>
      <c r="L918" s="4">
        <v>4662000</v>
      </c>
      <c r="M918" s="1">
        <f>O918*J918*K918</f>
        <v>179020.80000000002</v>
      </c>
      <c r="N918" s="3"/>
      <c r="O918" s="2">
        <f>L918/J918*(1-K918)</f>
        <v>372960</v>
      </c>
    </row>
    <row r="919" ht="14.25">
      <c r="A919" s="3" t="s">
        <v>304</v>
      </c>
      <c r="B919" s="3" t="s">
        <v>761</v>
      </c>
      <c r="C919" s="3" t="s">
        <v>773</v>
      </c>
      <c r="D919" s="3" t="s">
        <v>159</v>
      </c>
      <c r="E919" s="3" t="s">
        <v>53</v>
      </c>
      <c r="F919" s="3" t="s">
        <v>19</v>
      </c>
      <c r="G919" s="4">
        <v>5699520</v>
      </c>
      <c r="H919" s="4">
        <v>5699520</v>
      </c>
      <c r="I919" s="3" t="s">
        <v>517</v>
      </c>
      <c r="J919" s="4">
        <v>12</v>
      </c>
      <c r="K919" s="3" t="s">
        <v>21</v>
      </c>
      <c r="L919" s="4">
        <v>420000</v>
      </c>
      <c r="M919" s="1">
        <f>O919*J919*K919</f>
        <v>0</v>
      </c>
      <c r="N919" s="3"/>
      <c r="O919" s="2">
        <f>L919/J919*(1-K919)</f>
        <v>35000</v>
      </c>
    </row>
    <row r="920" ht="14.25">
      <c r="A920" s="3" t="s">
        <v>304</v>
      </c>
      <c r="B920" s="3" t="s">
        <v>761</v>
      </c>
      <c r="C920" s="3" t="s">
        <v>773</v>
      </c>
      <c r="D920" s="3" t="s">
        <v>159</v>
      </c>
      <c r="E920" s="3" t="s">
        <v>53</v>
      </c>
      <c r="F920" s="3" t="s">
        <v>19</v>
      </c>
      <c r="G920" s="4">
        <v>5699520</v>
      </c>
      <c r="H920" s="4">
        <v>5699520</v>
      </c>
      <c r="I920" s="3" t="s">
        <v>47</v>
      </c>
      <c r="J920" s="4">
        <v>24</v>
      </c>
      <c r="K920" s="3" t="s">
        <v>21</v>
      </c>
      <c r="L920" s="4">
        <v>804000</v>
      </c>
      <c r="M920" s="1">
        <f>O920*J920*K920</f>
        <v>0</v>
      </c>
      <c r="N920" s="3"/>
      <c r="O920" s="2">
        <f>L920/J920*(1-K920)</f>
        <v>33500</v>
      </c>
    </row>
    <row r="921" ht="14.25">
      <c r="A921" s="3" t="s">
        <v>304</v>
      </c>
      <c r="B921" s="3" t="s">
        <v>421</v>
      </c>
      <c r="C921" s="3" t="s">
        <v>775</v>
      </c>
      <c r="D921" s="3" t="s">
        <v>17</v>
      </c>
      <c r="E921" s="3" t="s">
        <v>265</v>
      </c>
      <c r="F921" s="3" t="s">
        <v>19</v>
      </c>
      <c r="G921" s="4">
        <v>0</v>
      </c>
      <c r="H921" s="4">
        <v>7600000</v>
      </c>
      <c r="I921" s="3" t="s">
        <v>35</v>
      </c>
      <c r="J921" s="4">
        <v>2</v>
      </c>
      <c r="K921" s="3" t="s">
        <v>21</v>
      </c>
      <c r="L921" s="4">
        <v>7600000</v>
      </c>
      <c r="M921" s="1">
        <f>O921*J921*K921</f>
        <v>0</v>
      </c>
      <c r="N921" s="3"/>
      <c r="O921" s="2">
        <f>L921/J921*(1-K921)</f>
        <v>3800000</v>
      </c>
    </row>
    <row r="922" ht="14.25">
      <c r="A922" s="3" t="s">
        <v>304</v>
      </c>
      <c r="B922" s="3" t="s">
        <v>761</v>
      </c>
      <c r="C922" s="3" t="s">
        <v>776</v>
      </c>
      <c r="D922" s="3" t="s">
        <v>17</v>
      </c>
      <c r="E922" s="3" t="s">
        <v>777</v>
      </c>
      <c r="F922" s="3" t="s">
        <v>19</v>
      </c>
      <c r="G922" s="4">
        <v>0</v>
      </c>
      <c r="H922" s="4">
        <v>8956000</v>
      </c>
      <c r="I922" s="3" t="s">
        <v>47</v>
      </c>
      <c r="J922" s="4">
        <v>72</v>
      </c>
      <c r="K922" s="3" t="s">
        <v>21</v>
      </c>
      <c r="L922" s="4">
        <v>2520000</v>
      </c>
      <c r="M922" s="1">
        <f>O922*J922*K922</f>
        <v>0</v>
      </c>
      <c r="N922" s="3"/>
      <c r="O922" s="2">
        <f>L922/J922*(1-K922)</f>
        <v>35000</v>
      </c>
    </row>
    <row r="923" ht="14.25">
      <c r="A923" s="3" t="s">
        <v>304</v>
      </c>
      <c r="B923" s="3" t="s">
        <v>761</v>
      </c>
      <c r="C923" s="3" t="s">
        <v>776</v>
      </c>
      <c r="D923" s="3" t="s">
        <v>17</v>
      </c>
      <c r="E923" s="3" t="s">
        <v>777</v>
      </c>
      <c r="F923" s="3" t="s">
        <v>19</v>
      </c>
      <c r="G923" s="4">
        <v>0</v>
      </c>
      <c r="H923" s="4">
        <v>8956000</v>
      </c>
      <c r="I923" s="3" t="s">
        <v>778</v>
      </c>
      <c r="J923" s="4">
        <v>24</v>
      </c>
      <c r="K923" s="3" t="s">
        <v>21</v>
      </c>
      <c r="L923" s="4">
        <v>792000</v>
      </c>
      <c r="M923" s="1">
        <f>O923*J923*K923</f>
        <v>0</v>
      </c>
      <c r="N923" s="3"/>
      <c r="O923" s="2">
        <f>L923/J923*(1-K923)</f>
        <v>33000</v>
      </c>
    </row>
    <row r="924" ht="14.25">
      <c r="A924" s="3" t="s">
        <v>304</v>
      </c>
      <c r="B924" s="3" t="s">
        <v>761</v>
      </c>
      <c r="C924" s="3" t="s">
        <v>776</v>
      </c>
      <c r="D924" s="3" t="s">
        <v>17</v>
      </c>
      <c r="E924" s="3" t="s">
        <v>777</v>
      </c>
      <c r="F924" s="3" t="s">
        <v>19</v>
      </c>
      <c r="G924" s="4">
        <v>0</v>
      </c>
      <c r="H924" s="4">
        <v>8956000</v>
      </c>
      <c r="I924" s="3" t="s">
        <v>114</v>
      </c>
      <c r="J924" s="4">
        <v>12</v>
      </c>
      <c r="K924" s="3" t="s">
        <v>21</v>
      </c>
      <c r="L924" s="4">
        <v>660000</v>
      </c>
      <c r="M924" s="1">
        <f>O924*J924*K924</f>
        <v>0</v>
      </c>
      <c r="N924" s="3"/>
      <c r="O924" s="2">
        <f>L924/J924*(1-K924)</f>
        <v>55000</v>
      </c>
    </row>
    <row r="925" ht="14.25">
      <c r="A925" s="3" t="s">
        <v>304</v>
      </c>
      <c r="B925" s="3" t="s">
        <v>761</v>
      </c>
      <c r="C925" s="3" t="s">
        <v>776</v>
      </c>
      <c r="D925" s="3" t="s">
        <v>17</v>
      </c>
      <c r="E925" s="3" t="s">
        <v>777</v>
      </c>
      <c r="F925" s="3" t="s">
        <v>19</v>
      </c>
      <c r="G925" s="4">
        <v>0</v>
      </c>
      <c r="H925" s="4">
        <v>8956000</v>
      </c>
      <c r="I925" s="3" t="s">
        <v>415</v>
      </c>
      <c r="J925" s="4">
        <v>12</v>
      </c>
      <c r="K925" s="3" t="s">
        <v>21</v>
      </c>
      <c r="L925" s="4">
        <v>480000</v>
      </c>
      <c r="M925" s="1">
        <f>O925*J925*K925</f>
        <v>0</v>
      </c>
      <c r="N925" s="3"/>
      <c r="O925" s="2">
        <f>L925/J925*(1-K925)</f>
        <v>40000</v>
      </c>
    </row>
    <row r="926" ht="14.25">
      <c r="A926" s="3" t="s">
        <v>304</v>
      </c>
      <c r="B926" s="3" t="s">
        <v>761</v>
      </c>
      <c r="C926" s="3" t="s">
        <v>776</v>
      </c>
      <c r="D926" s="3" t="s">
        <v>17</v>
      </c>
      <c r="E926" s="3" t="s">
        <v>777</v>
      </c>
      <c r="F926" s="3" t="s">
        <v>19</v>
      </c>
      <c r="G926" s="4">
        <v>0</v>
      </c>
      <c r="H926" s="4">
        <v>8956000</v>
      </c>
      <c r="I926" s="3" t="s">
        <v>395</v>
      </c>
      <c r="J926" s="4">
        <v>12</v>
      </c>
      <c r="K926" s="3" t="s">
        <v>21</v>
      </c>
      <c r="L926" s="4">
        <v>1740000</v>
      </c>
      <c r="M926" s="1">
        <f>O926*J926*K926</f>
        <v>0</v>
      </c>
      <c r="N926" s="3"/>
      <c r="O926" s="2">
        <f>L926/J926*(1-K926)</f>
        <v>145000</v>
      </c>
    </row>
    <row r="927" ht="14.25">
      <c r="A927" s="3" t="s">
        <v>304</v>
      </c>
      <c r="B927" s="3" t="s">
        <v>761</v>
      </c>
      <c r="C927" s="3" t="s">
        <v>776</v>
      </c>
      <c r="D927" s="3" t="s">
        <v>17</v>
      </c>
      <c r="E927" s="3" t="s">
        <v>777</v>
      </c>
      <c r="F927" s="3" t="s">
        <v>19</v>
      </c>
      <c r="G927" s="4">
        <v>0</v>
      </c>
      <c r="H927" s="4">
        <v>8956000</v>
      </c>
      <c r="I927" s="3" t="s">
        <v>129</v>
      </c>
      <c r="J927" s="4">
        <v>20</v>
      </c>
      <c r="K927" s="3" t="s">
        <v>21</v>
      </c>
      <c r="L927" s="4">
        <v>1540000</v>
      </c>
      <c r="M927" s="1">
        <f>O927*J927*K927</f>
        <v>0</v>
      </c>
      <c r="N927" s="3"/>
      <c r="O927" s="2">
        <f>L927/J927*(1-K927)</f>
        <v>77000</v>
      </c>
    </row>
    <row r="928" ht="14.25">
      <c r="A928" s="3" t="s">
        <v>304</v>
      </c>
      <c r="B928" s="3" t="s">
        <v>761</v>
      </c>
      <c r="C928" s="3" t="s">
        <v>776</v>
      </c>
      <c r="D928" s="3" t="s">
        <v>17</v>
      </c>
      <c r="E928" s="3" t="s">
        <v>777</v>
      </c>
      <c r="F928" s="3" t="s">
        <v>19</v>
      </c>
      <c r="G928" s="4">
        <v>0</v>
      </c>
      <c r="H928" s="4">
        <v>8956000</v>
      </c>
      <c r="I928" s="3" t="s">
        <v>295</v>
      </c>
      <c r="J928" s="4">
        <v>24</v>
      </c>
      <c r="K928" s="3" t="s">
        <v>21</v>
      </c>
      <c r="L928" s="4">
        <v>840000</v>
      </c>
      <c r="M928" s="1">
        <f>O928*J928*K928</f>
        <v>0</v>
      </c>
      <c r="N928" s="3"/>
      <c r="O928" s="2">
        <f>L928/J928*(1-K928)</f>
        <v>35000</v>
      </c>
    </row>
    <row r="929" ht="14.25">
      <c r="A929" s="3" t="s">
        <v>304</v>
      </c>
      <c r="B929" s="3" t="s">
        <v>761</v>
      </c>
      <c r="C929" s="3" t="s">
        <v>776</v>
      </c>
      <c r="D929" s="3" t="s">
        <v>17</v>
      </c>
      <c r="E929" s="3" t="s">
        <v>777</v>
      </c>
      <c r="F929" s="3" t="s">
        <v>19</v>
      </c>
      <c r="G929" s="4">
        <v>0</v>
      </c>
      <c r="H929" s="4">
        <v>8956000</v>
      </c>
      <c r="I929" s="3" t="s">
        <v>161</v>
      </c>
      <c r="J929" s="4">
        <v>48</v>
      </c>
      <c r="K929" s="3" t="s">
        <v>21</v>
      </c>
      <c r="L929" s="4">
        <v>384000</v>
      </c>
      <c r="M929" s="1">
        <f>O929*J929*K929</f>
        <v>0</v>
      </c>
      <c r="N929" s="3"/>
      <c r="O929" s="2">
        <f>L929/J929*(1-K929)</f>
        <v>8000</v>
      </c>
    </row>
    <row r="930" ht="14.25">
      <c r="A930" s="3" t="s">
        <v>304</v>
      </c>
      <c r="B930" s="3" t="s">
        <v>304</v>
      </c>
      <c r="C930" s="3" t="s">
        <v>779</v>
      </c>
      <c r="D930" s="3" t="s">
        <v>17</v>
      </c>
      <c r="E930" s="3" t="s">
        <v>50</v>
      </c>
      <c r="F930" s="3" t="s">
        <v>19</v>
      </c>
      <c r="G930" s="4">
        <v>0</v>
      </c>
      <c r="H930" s="4">
        <v>11160000</v>
      </c>
      <c r="I930" s="3" t="s">
        <v>607</v>
      </c>
      <c r="J930" s="4">
        <v>5</v>
      </c>
      <c r="K930" s="3" t="s">
        <v>21</v>
      </c>
      <c r="L930" s="4">
        <v>3200000</v>
      </c>
      <c r="M930" s="1">
        <f>O930*J930*K930</f>
        <v>0</v>
      </c>
      <c r="N930" s="3"/>
      <c r="O930" s="2">
        <f>L930/J930*(1-K930)</f>
        <v>640000</v>
      </c>
    </row>
    <row r="931" ht="14.25">
      <c r="A931" s="3" t="s">
        <v>304</v>
      </c>
      <c r="B931" s="3" t="s">
        <v>304</v>
      </c>
      <c r="C931" s="3" t="s">
        <v>779</v>
      </c>
      <c r="D931" s="3" t="s">
        <v>17</v>
      </c>
      <c r="E931" s="3" t="s">
        <v>50</v>
      </c>
      <c r="F931" s="3" t="s">
        <v>19</v>
      </c>
      <c r="G931" s="4">
        <v>0</v>
      </c>
      <c r="H931" s="4">
        <v>11160000</v>
      </c>
      <c r="I931" s="3" t="s">
        <v>629</v>
      </c>
      <c r="J931" s="4">
        <v>4</v>
      </c>
      <c r="K931" s="3" t="s">
        <v>21</v>
      </c>
      <c r="L931" s="4">
        <v>2560000</v>
      </c>
      <c r="M931" s="1">
        <f>O931*J931*K931</f>
        <v>0</v>
      </c>
      <c r="N931" s="3"/>
      <c r="O931" s="2">
        <f>L931/J931*(1-K931)</f>
        <v>640000</v>
      </c>
    </row>
    <row r="932" ht="14.25">
      <c r="A932" s="3" t="s">
        <v>304</v>
      </c>
      <c r="B932" s="3" t="s">
        <v>304</v>
      </c>
      <c r="C932" s="3" t="s">
        <v>779</v>
      </c>
      <c r="D932" s="3" t="s">
        <v>17</v>
      </c>
      <c r="E932" s="3" t="s">
        <v>50</v>
      </c>
      <c r="F932" s="3" t="s">
        <v>19</v>
      </c>
      <c r="G932" s="4">
        <v>0</v>
      </c>
      <c r="H932" s="4">
        <v>11160000</v>
      </c>
      <c r="I932" s="3" t="s">
        <v>608</v>
      </c>
      <c r="J932" s="4">
        <v>6</v>
      </c>
      <c r="K932" s="3" t="s">
        <v>21</v>
      </c>
      <c r="L932" s="4">
        <v>5400000</v>
      </c>
      <c r="M932" s="1">
        <f>O932*J932*K932</f>
        <v>0</v>
      </c>
      <c r="N932" s="3"/>
      <c r="O932" s="2">
        <f>L932/J932*(1-K932)</f>
        <v>900000</v>
      </c>
    </row>
    <row r="933" ht="14.25">
      <c r="A933" s="3" t="s">
        <v>304</v>
      </c>
      <c r="B933" s="3" t="s">
        <v>304</v>
      </c>
      <c r="C933" s="3" t="s">
        <v>780</v>
      </c>
      <c r="D933" s="3" t="s">
        <v>17</v>
      </c>
      <c r="E933" s="3" t="s">
        <v>23</v>
      </c>
      <c r="F933" s="3" t="s">
        <v>19</v>
      </c>
      <c r="G933" s="4">
        <v>0</v>
      </c>
      <c r="H933" s="4">
        <v>1390000</v>
      </c>
      <c r="I933" s="3" t="s">
        <v>283</v>
      </c>
      <c r="J933" s="4">
        <v>1</v>
      </c>
      <c r="K933" s="3" t="s">
        <v>21</v>
      </c>
      <c r="L933" s="4">
        <v>1390000</v>
      </c>
      <c r="M933" s="1">
        <f>O933*J933*K933</f>
        <v>0</v>
      </c>
      <c r="N933" s="3"/>
      <c r="O933" s="2">
        <f>L933/J933*(1-K933)</f>
        <v>1390000</v>
      </c>
    </row>
    <row r="934" ht="14.25">
      <c r="A934" s="3" t="s">
        <v>695</v>
      </c>
      <c r="B934" s="3" t="s">
        <v>695</v>
      </c>
      <c r="C934" s="3" t="s">
        <v>781</v>
      </c>
      <c r="D934" s="3" t="s">
        <v>17</v>
      </c>
      <c r="E934" s="3" t="s">
        <v>782</v>
      </c>
      <c r="F934" s="3" t="s">
        <v>19</v>
      </c>
      <c r="G934" s="4">
        <v>0</v>
      </c>
      <c r="H934" s="4">
        <v>0</v>
      </c>
      <c r="I934" s="3" t="s">
        <v>39</v>
      </c>
      <c r="J934" s="4">
        <v>1</v>
      </c>
      <c r="K934" s="3" t="s">
        <v>21</v>
      </c>
      <c r="L934" s="4">
        <v>0</v>
      </c>
      <c r="M934" s="1">
        <f>O934*J934*K934</f>
        <v>0</v>
      </c>
      <c r="N934" s="3"/>
      <c r="O934" s="2">
        <f>L934/J934*(1-K934)</f>
        <v>0</v>
      </c>
    </row>
    <row r="935" ht="14.25">
      <c r="A935" s="3" t="s">
        <v>695</v>
      </c>
      <c r="B935" s="3" t="s">
        <v>695</v>
      </c>
      <c r="C935" s="3" t="s">
        <v>781</v>
      </c>
      <c r="D935" s="3" t="s">
        <v>17</v>
      </c>
      <c r="E935" s="3" t="s">
        <v>782</v>
      </c>
      <c r="F935" s="3" t="s">
        <v>19</v>
      </c>
      <c r="G935" s="4">
        <v>0</v>
      </c>
      <c r="H935" s="4">
        <v>0</v>
      </c>
      <c r="I935" s="3" t="s">
        <v>90</v>
      </c>
      <c r="J935" s="4">
        <v>8</v>
      </c>
      <c r="K935" s="3" t="s">
        <v>21</v>
      </c>
      <c r="L935" s="4">
        <v>0</v>
      </c>
      <c r="M935" s="1">
        <f>O935*J935*K935</f>
        <v>0</v>
      </c>
      <c r="N935" s="3"/>
      <c r="O935" s="2">
        <f>L935/J935*(1-K935)</f>
        <v>0</v>
      </c>
    </row>
    <row r="936" ht="14.25">
      <c r="A936" s="3" t="s">
        <v>695</v>
      </c>
      <c r="B936" s="3" t="s">
        <v>695</v>
      </c>
      <c r="C936" s="3" t="s">
        <v>781</v>
      </c>
      <c r="D936" s="3" t="s">
        <v>17</v>
      </c>
      <c r="E936" s="3" t="s">
        <v>782</v>
      </c>
      <c r="F936" s="3" t="s">
        <v>19</v>
      </c>
      <c r="G936" s="4">
        <v>0</v>
      </c>
      <c r="H936" s="4">
        <v>0</v>
      </c>
      <c r="I936" s="3" t="s">
        <v>150</v>
      </c>
      <c r="J936" s="4">
        <v>8</v>
      </c>
      <c r="K936" s="3" t="s">
        <v>21</v>
      </c>
      <c r="L936" s="4">
        <v>0</v>
      </c>
      <c r="M936" s="1">
        <f>O936*J936*K936</f>
        <v>0</v>
      </c>
      <c r="N936" s="3"/>
      <c r="O936" s="2">
        <f>L936/J936*(1-K936)</f>
        <v>0</v>
      </c>
    </row>
    <row r="937" ht="14.25">
      <c r="A937" s="3" t="s">
        <v>695</v>
      </c>
      <c r="B937" s="3" t="s">
        <v>695</v>
      </c>
      <c r="C937" s="3" t="s">
        <v>783</v>
      </c>
      <c r="D937" s="3" t="s">
        <v>17</v>
      </c>
      <c r="E937" s="3" t="s">
        <v>784</v>
      </c>
      <c r="F937" s="3" t="s">
        <v>19</v>
      </c>
      <c r="G937" s="4">
        <v>0</v>
      </c>
      <c r="H937" s="4">
        <v>880000</v>
      </c>
      <c r="I937" s="3" t="s">
        <v>122</v>
      </c>
      <c r="J937" s="4">
        <v>4</v>
      </c>
      <c r="K937" s="3" t="s">
        <v>21</v>
      </c>
      <c r="L937" s="4">
        <v>880000</v>
      </c>
      <c r="M937" s="1">
        <f>O937*J937*K937</f>
        <v>0</v>
      </c>
      <c r="N937" s="3"/>
      <c r="O937" s="2">
        <f>L937/J937*(1-K937)</f>
        <v>220000</v>
      </c>
    </row>
    <row r="938" ht="14.25">
      <c r="A938" s="3" t="s">
        <v>695</v>
      </c>
      <c r="B938" s="3" t="s">
        <v>766</v>
      </c>
      <c r="C938" s="3" t="s">
        <v>785</v>
      </c>
      <c r="D938" s="3" t="s">
        <v>17</v>
      </c>
      <c r="E938" s="3" t="s">
        <v>786</v>
      </c>
      <c r="F938" s="3" t="s">
        <v>19</v>
      </c>
      <c r="G938" s="4">
        <v>0</v>
      </c>
      <c r="H938" s="4">
        <v>4662000</v>
      </c>
      <c r="I938" s="3" t="s">
        <v>356</v>
      </c>
      <c r="J938" s="4">
        <v>8</v>
      </c>
      <c r="K938" s="3" t="s">
        <v>21</v>
      </c>
      <c r="L938" s="4">
        <v>1936200</v>
      </c>
      <c r="M938" s="1">
        <f>O938*J938*K938</f>
        <v>0</v>
      </c>
      <c r="N938" s="3"/>
      <c r="O938" s="2">
        <f>L938/J938*(1-K938)</f>
        <v>242025</v>
      </c>
    </row>
    <row r="939" ht="14.25">
      <c r="A939" s="3" t="s">
        <v>695</v>
      </c>
      <c r="B939" s="3" t="s">
        <v>766</v>
      </c>
      <c r="C939" s="3" t="s">
        <v>785</v>
      </c>
      <c r="D939" s="3" t="s">
        <v>17</v>
      </c>
      <c r="E939" s="3" t="s">
        <v>786</v>
      </c>
      <c r="F939" s="3" t="s">
        <v>19</v>
      </c>
      <c r="G939" s="4">
        <v>0</v>
      </c>
      <c r="H939" s="4">
        <v>4662000</v>
      </c>
      <c r="I939" s="3" t="s">
        <v>248</v>
      </c>
      <c r="J939" s="4">
        <v>8</v>
      </c>
      <c r="K939" s="3" t="s">
        <v>21</v>
      </c>
      <c r="L939" s="4">
        <v>2032800</v>
      </c>
      <c r="M939" s="1">
        <f>O939*J939*K939</f>
        <v>0</v>
      </c>
      <c r="N939" s="3"/>
      <c r="O939" s="2">
        <f>L939/J939*(1-K939)</f>
        <v>254100</v>
      </c>
    </row>
    <row r="940" ht="14.25">
      <c r="A940" s="3" t="s">
        <v>695</v>
      </c>
      <c r="B940" s="3" t="s">
        <v>766</v>
      </c>
      <c r="C940" s="3" t="s">
        <v>785</v>
      </c>
      <c r="D940" s="3" t="s">
        <v>17</v>
      </c>
      <c r="E940" s="3" t="s">
        <v>786</v>
      </c>
      <c r="F940" s="3" t="s">
        <v>19</v>
      </c>
      <c r="G940" s="4">
        <v>0</v>
      </c>
      <c r="H940" s="4">
        <v>4662000</v>
      </c>
      <c r="I940" s="3" t="s">
        <v>787</v>
      </c>
      <c r="J940" s="4">
        <v>4</v>
      </c>
      <c r="K940" s="3" t="s">
        <v>21</v>
      </c>
      <c r="L940" s="4">
        <v>693000</v>
      </c>
      <c r="M940" s="1">
        <f>O940*J940*K940</f>
        <v>0</v>
      </c>
      <c r="N940" s="3"/>
      <c r="O940" s="2">
        <f>L940/J940*(1-K940)</f>
        <v>173250</v>
      </c>
    </row>
    <row r="941" ht="14.25">
      <c r="A941" s="3" t="s">
        <v>386</v>
      </c>
      <c r="B941" s="3" t="s">
        <v>386</v>
      </c>
      <c r="C941" s="3" t="s">
        <v>788</v>
      </c>
      <c r="D941" s="3" t="s">
        <v>17</v>
      </c>
      <c r="E941" s="3" t="s">
        <v>789</v>
      </c>
      <c r="F941" s="3" t="s">
        <v>19</v>
      </c>
      <c r="G941" s="4">
        <v>0</v>
      </c>
      <c r="H941" s="4">
        <v>7327350</v>
      </c>
      <c r="I941" s="3" t="s">
        <v>66</v>
      </c>
      <c r="J941" s="4">
        <v>4</v>
      </c>
      <c r="K941" s="3" t="s">
        <v>21</v>
      </c>
      <c r="L941" s="4">
        <v>1737600</v>
      </c>
      <c r="M941" s="1">
        <f>O941*J941*K941</f>
        <v>0</v>
      </c>
      <c r="N941" s="3"/>
      <c r="O941" s="2">
        <f>L941/J941*(1-K941)</f>
        <v>434400</v>
      </c>
    </row>
    <row r="942" ht="14.25">
      <c r="A942" s="3" t="s">
        <v>386</v>
      </c>
      <c r="B942" s="3" t="s">
        <v>386</v>
      </c>
      <c r="C942" s="3" t="s">
        <v>788</v>
      </c>
      <c r="D942" s="3" t="s">
        <v>17</v>
      </c>
      <c r="E942" s="3" t="s">
        <v>789</v>
      </c>
      <c r="F942" s="3" t="s">
        <v>19</v>
      </c>
      <c r="G942" s="4">
        <v>0</v>
      </c>
      <c r="H942" s="4">
        <v>7327350</v>
      </c>
      <c r="I942" s="3" t="s">
        <v>187</v>
      </c>
      <c r="J942" s="4">
        <v>20</v>
      </c>
      <c r="K942" s="3" t="s">
        <v>21</v>
      </c>
      <c r="L942" s="4">
        <v>988000</v>
      </c>
      <c r="M942" s="1">
        <f>O942*J942*K942</f>
        <v>0</v>
      </c>
      <c r="N942" s="3"/>
      <c r="O942" s="2">
        <f>L942/J942*(1-K942)</f>
        <v>49400</v>
      </c>
    </row>
    <row r="943" ht="14.25">
      <c r="A943" s="3" t="s">
        <v>386</v>
      </c>
      <c r="B943" s="3" t="s">
        <v>386</v>
      </c>
      <c r="C943" s="3" t="s">
        <v>788</v>
      </c>
      <c r="D943" s="3" t="s">
        <v>17</v>
      </c>
      <c r="E943" s="3" t="s">
        <v>789</v>
      </c>
      <c r="F943" s="3" t="s">
        <v>19</v>
      </c>
      <c r="G943" s="4">
        <v>0</v>
      </c>
      <c r="H943" s="4">
        <v>7327350</v>
      </c>
      <c r="I943" s="3" t="s">
        <v>67</v>
      </c>
      <c r="J943" s="4">
        <v>4</v>
      </c>
      <c r="K943" s="3" t="s">
        <v>21</v>
      </c>
      <c r="L943" s="4">
        <v>1554000</v>
      </c>
      <c r="M943" s="1">
        <f>O943*J943*K943</f>
        <v>0</v>
      </c>
      <c r="N943" s="3"/>
      <c r="O943" s="2">
        <f>L943/J943*(1-K943)</f>
        <v>388500</v>
      </c>
    </row>
    <row r="944" ht="14.25">
      <c r="A944" s="3" t="s">
        <v>386</v>
      </c>
      <c r="B944" s="3" t="s">
        <v>386</v>
      </c>
      <c r="C944" s="3" t="s">
        <v>788</v>
      </c>
      <c r="D944" s="3" t="s">
        <v>17</v>
      </c>
      <c r="E944" s="3" t="s">
        <v>789</v>
      </c>
      <c r="F944" s="3" t="s">
        <v>19</v>
      </c>
      <c r="G944" s="4">
        <v>0</v>
      </c>
      <c r="H944" s="4">
        <v>7327350</v>
      </c>
      <c r="I944" s="3" t="s">
        <v>36</v>
      </c>
      <c r="J944" s="4">
        <v>4</v>
      </c>
      <c r="K944" s="3" t="s">
        <v>21</v>
      </c>
      <c r="L944" s="4">
        <v>790000</v>
      </c>
      <c r="M944" s="1">
        <f>O944*J944*K944</f>
        <v>0</v>
      </c>
      <c r="N944" s="3"/>
      <c r="O944" s="2">
        <f>L944/J944*(1-K944)</f>
        <v>197500</v>
      </c>
    </row>
    <row r="945" ht="14.25">
      <c r="A945" s="3" t="s">
        <v>386</v>
      </c>
      <c r="B945" s="3" t="s">
        <v>386</v>
      </c>
      <c r="C945" s="3" t="s">
        <v>788</v>
      </c>
      <c r="D945" s="3" t="s">
        <v>17</v>
      </c>
      <c r="E945" s="3" t="s">
        <v>789</v>
      </c>
      <c r="F945" s="3" t="s">
        <v>19</v>
      </c>
      <c r="G945" s="4">
        <v>0</v>
      </c>
      <c r="H945" s="4">
        <v>7327350</v>
      </c>
      <c r="I945" s="3" t="s">
        <v>68</v>
      </c>
      <c r="J945" s="4">
        <v>20</v>
      </c>
      <c r="K945" s="3" t="s">
        <v>21</v>
      </c>
      <c r="L945" s="4">
        <v>870000</v>
      </c>
      <c r="M945" s="1">
        <f>O945*J945*K945</f>
        <v>0</v>
      </c>
      <c r="N945" s="3"/>
      <c r="O945" s="2">
        <f>L945/J945*(1-K945)</f>
        <v>43500</v>
      </c>
    </row>
    <row r="946" ht="14.25">
      <c r="A946" s="3" t="s">
        <v>386</v>
      </c>
      <c r="B946" s="3" t="s">
        <v>386</v>
      </c>
      <c r="C946" s="3" t="s">
        <v>788</v>
      </c>
      <c r="D946" s="3" t="s">
        <v>17</v>
      </c>
      <c r="E946" s="3" t="s">
        <v>789</v>
      </c>
      <c r="F946" s="3" t="s">
        <v>19</v>
      </c>
      <c r="G946" s="4">
        <v>0</v>
      </c>
      <c r="H946" s="4">
        <v>7327350</v>
      </c>
      <c r="I946" s="3" t="s">
        <v>748</v>
      </c>
      <c r="J946" s="4">
        <v>2</v>
      </c>
      <c r="K946" s="3" t="s">
        <v>21</v>
      </c>
      <c r="L946" s="4">
        <v>757600</v>
      </c>
      <c r="M946" s="1">
        <f>O946*J946*K946</f>
        <v>0</v>
      </c>
      <c r="N946" s="3"/>
      <c r="O946" s="2">
        <f>L946/J946*(1-K946)</f>
        <v>378800</v>
      </c>
    </row>
    <row r="947" ht="14.25">
      <c r="A947" s="3" t="s">
        <v>386</v>
      </c>
      <c r="B947" s="3" t="s">
        <v>386</v>
      </c>
      <c r="C947" s="3" t="s">
        <v>788</v>
      </c>
      <c r="D947" s="3" t="s">
        <v>17</v>
      </c>
      <c r="E947" s="3" t="s">
        <v>789</v>
      </c>
      <c r="F947" s="3" t="s">
        <v>19</v>
      </c>
      <c r="G947" s="4">
        <v>0</v>
      </c>
      <c r="H947" s="4">
        <v>7327350</v>
      </c>
      <c r="I947" s="3" t="s">
        <v>38</v>
      </c>
      <c r="J947" s="4">
        <v>6</v>
      </c>
      <c r="K947" s="3" t="s">
        <v>21</v>
      </c>
      <c r="L947" s="4">
        <v>1015800</v>
      </c>
      <c r="M947" s="1">
        <f>O947*J947*K947</f>
        <v>0</v>
      </c>
      <c r="N947" s="3"/>
      <c r="O947" s="2">
        <f>L947/J947*(1-K947)</f>
        <v>169300</v>
      </c>
    </row>
    <row r="948" ht="14.25">
      <c r="A948" s="3" t="s">
        <v>386</v>
      </c>
      <c r="B948" s="3" t="s">
        <v>386</v>
      </c>
      <c r="C948" s="3" t="s">
        <v>790</v>
      </c>
      <c r="D948" s="3" t="s">
        <v>17</v>
      </c>
      <c r="E948" s="3" t="s">
        <v>88</v>
      </c>
      <c r="F948" s="3" t="s">
        <v>19</v>
      </c>
      <c r="G948" s="4">
        <v>0</v>
      </c>
      <c r="H948" s="4">
        <v>2937532</v>
      </c>
      <c r="I948" s="3" t="s">
        <v>731</v>
      </c>
      <c r="J948" s="4">
        <v>3</v>
      </c>
      <c r="K948" s="3" t="s">
        <v>21</v>
      </c>
      <c r="L948" s="4">
        <v>1500000</v>
      </c>
      <c r="M948" s="1">
        <f>O948*J948*K948</f>
        <v>0</v>
      </c>
      <c r="N948" s="3"/>
      <c r="O948" s="2">
        <f>L948/J948*(1-K948)</f>
        <v>500000</v>
      </c>
    </row>
    <row r="949" ht="14.25">
      <c r="A949" s="3" t="s">
        <v>386</v>
      </c>
      <c r="B949" s="3" t="s">
        <v>386</v>
      </c>
      <c r="C949" s="3" t="s">
        <v>790</v>
      </c>
      <c r="D949" s="3" t="s">
        <v>17</v>
      </c>
      <c r="E949" s="3" t="s">
        <v>88</v>
      </c>
      <c r="F949" s="3" t="s">
        <v>19</v>
      </c>
      <c r="G949" s="4">
        <v>0</v>
      </c>
      <c r="H949" s="4">
        <v>2937532</v>
      </c>
      <c r="I949" s="3" t="s">
        <v>732</v>
      </c>
      <c r="J949" s="4">
        <v>2</v>
      </c>
      <c r="K949" s="3" t="s">
        <v>21</v>
      </c>
      <c r="L949" s="4">
        <v>1000000</v>
      </c>
      <c r="M949" s="1">
        <f>O949*J949*K949</f>
        <v>0</v>
      </c>
      <c r="N949" s="3"/>
      <c r="O949" s="2">
        <f>L949/J949*(1-K949)</f>
        <v>500000</v>
      </c>
    </row>
    <row r="950" ht="14.25">
      <c r="A950" s="3" t="s">
        <v>386</v>
      </c>
      <c r="B950" s="3" t="s">
        <v>386</v>
      </c>
      <c r="C950" s="3" t="s">
        <v>790</v>
      </c>
      <c r="D950" s="3" t="s">
        <v>17</v>
      </c>
      <c r="E950" s="3" t="s">
        <v>88</v>
      </c>
      <c r="F950" s="3" t="s">
        <v>19</v>
      </c>
      <c r="G950" s="4">
        <v>0</v>
      </c>
      <c r="H950" s="4">
        <v>2937532</v>
      </c>
      <c r="I950" s="3" t="s">
        <v>688</v>
      </c>
      <c r="J950" s="4">
        <v>12</v>
      </c>
      <c r="K950" s="3" t="s">
        <v>21</v>
      </c>
      <c r="L950" s="4">
        <v>437532</v>
      </c>
      <c r="M950" s="1">
        <f>O950*J950*K950</f>
        <v>0</v>
      </c>
      <c r="N950" s="3"/>
      <c r="O950" s="2">
        <f>L950/J950*(1-K950)</f>
        <v>36461</v>
      </c>
    </row>
    <row r="951" ht="14.25">
      <c r="A951" s="3" t="s">
        <v>386</v>
      </c>
      <c r="B951" s="3" t="s">
        <v>386</v>
      </c>
      <c r="C951" s="3" t="s">
        <v>791</v>
      </c>
      <c r="D951" s="3" t="s">
        <v>17</v>
      </c>
      <c r="E951" s="3" t="s">
        <v>228</v>
      </c>
      <c r="F951" s="3" t="s">
        <v>19</v>
      </c>
      <c r="G951" s="4">
        <v>0</v>
      </c>
      <c r="H951" s="4">
        <v>600000</v>
      </c>
      <c r="I951" s="3" t="s">
        <v>29</v>
      </c>
      <c r="J951" s="4">
        <v>1</v>
      </c>
      <c r="K951" s="3" t="s">
        <v>21</v>
      </c>
      <c r="L951" s="4">
        <v>600000</v>
      </c>
      <c r="M951" s="1">
        <f>O951*J951*K951</f>
        <v>0</v>
      </c>
      <c r="N951" s="3"/>
      <c r="O951" s="2">
        <f>L951/J951*(1-K951)</f>
        <v>600000</v>
      </c>
    </row>
    <row r="952" ht="14.25">
      <c r="A952" s="3" t="s">
        <v>386</v>
      </c>
      <c r="B952" s="3" t="s">
        <v>487</v>
      </c>
      <c r="C952" s="3" t="s">
        <v>792</v>
      </c>
      <c r="D952" s="3" t="s">
        <v>17</v>
      </c>
      <c r="E952" s="3" t="s">
        <v>34</v>
      </c>
      <c r="F952" s="3" t="s">
        <v>19</v>
      </c>
      <c r="G952" s="4">
        <v>0</v>
      </c>
      <c r="H952" s="4">
        <v>950000</v>
      </c>
      <c r="I952" s="3" t="s">
        <v>58</v>
      </c>
      <c r="J952" s="4">
        <v>2</v>
      </c>
      <c r="K952" s="3" t="s">
        <v>21</v>
      </c>
      <c r="L952" s="4">
        <v>950000</v>
      </c>
      <c r="M952" s="1">
        <f>O952*J952*K952</f>
        <v>0</v>
      </c>
      <c r="N952" s="3"/>
      <c r="O952" s="2">
        <f>L952/J952*(1-K952)</f>
        <v>475000</v>
      </c>
    </row>
    <row r="953" ht="14.25">
      <c r="A953" s="3" t="s">
        <v>386</v>
      </c>
      <c r="B953" s="3" t="s">
        <v>793</v>
      </c>
      <c r="C953" s="3" t="s">
        <v>794</v>
      </c>
      <c r="D953" s="3" t="s">
        <v>17</v>
      </c>
      <c r="E953" s="3" t="s">
        <v>34</v>
      </c>
      <c r="F953" s="3" t="s">
        <v>19</v>
      </c>
      <c r="G953" s="4">
        <v>0</v>
      </c>
      <c r="H953" s="4">
        <v>49241982</v>
      </c>
      <c r="I953" s="3" t="s">
        <v>394</v>
      </c>
      <c r="J953" s="4">
        <v>3</v>
      </c>
      <c r="K953" s="3" t="s">
        <v>21</v>
      </c>
      <c r="L953" s="4">
        <v>1020000</v>
      </c>
      <c r="M953" s="1">
        <f>O953*J953*K953</f>
        <v>0</v>
      </c>
      <c r="N953" s="3"/>
      <c r="O953" s="2">
        <f>L953/J953*(1-K953)</f>
        <v>340000</v>
      </c>
    </row>
    <row r="954" ht="14.25">
      <c r="A954" s="3" t="s">
        <v>386</v>
      </c>
      <c r="B954" s="3" t="s">
        <v>793</v>
      </c>
      <c r="C954" s="3" t="s">
        <v>794</v>
      </c>
      <c r="D954" s="3" t="s">
        <v>17</v>
      </c>
      <c r="E954" s="3" t="s">
        <v>34</v>
      </c>
      <c r="F954" s="3" t="s">
        <v>19</v>
      </c>
      <c r="G954" s="4">
        <v>0</v>
      </c>
      <c r="H954" s="4">
        <v>49241982</v>
      </c>
      <c r="I954" s="3" t="s">
        <v>465</v>
      </c>
      <c r="J954" s="4">
        <v>2</v>
      </c>
      <c r="K954" s="3" t="s">
        <v>21</v>
      </c>
      <c r="L954" s="4">
        <v>11200000</v>
      </c>
      <c r="M954" s="1">
        <f>O954*J954*K954</f>
        <v>0</v>
      </c>
      <c r="N954" s="3"/>
      <c r="O954" s="2">
        <f>L954/J954*(1-K954)</f>
        <v>5600000</v>
      </c>
    </row>
    <row r="955" ht="14.25">
      <c r="A955" s="3" t="s">
        <v>386</v>
      </c>
      <c r="B955" s="3" t="s">
        <v>793</v>
      </c>
      <c r="C955" s="3" t="s">
        <v>794</v>
      </c>
      <c r="D955" s="3" t="s">
        <v>17</v>
      </c>
      <c r="E955" s="3" t="s">
        <v>34</v>
      </c>
      <c r="F955" s="3" t="s">
        <v>19</v>
      </c>
      <c r="G955" s="4">
        <v>0</v>
      </c>
      <c r="H955" s="4">
        <v>49241982</v>
      </c>
      <c r="I955" s="3" t="s">
        <v>39</v>
      </c>
      <c r="J955" s="4">
        <v>4</v>
      </c>
      <c r="K955" s="3" t="s">
        <v>21</v>
      </c>
      <c r="L955" s="4">
        <v>13200000</v>
      </c>
      <c r="M955" s="1">
        <f>O955*J955*K955</f>
        <v>0</v>
      </c>
      <c r="N955" s="3"/>
      <c r="O955" s="2">
        <f>L955/J955*(1-K955)</f>
        <v>3300000</v>
      </c>
    </row>
    <row r="956" ht="14.25">
      <c r="A956" s="3" t="s">
        <v>386</v>
      </c>
      <c r="B956" s="3" t="s">
        <v>793</v>
      </c>
      <c r="C956" s="3" t="s">
        <v>794</v>
      </c>
      <c r="D956" s="3" t="s">
        <v>17</v>
      </c>
      <c r="E956" s="3" t="s">
        <v>34</v>
      </c>
      <c r="F956" s="3" t="s">
        <v>19</v>
      </c>
      <c r="G956" s="4">
        <v>0</v>
      </c>
      <c r="H956" s="4">
        <v>49241982</v>
      </c>
      <c r="I956" s="3" t="s">
        <v>35</v>
      </c>
      <c r="J956" s="4">
        <v>1</v>
      </c>
      <c r="K956" s="3" t="s">
        <v>21</v>
      </c>
      <c r="L956" s="4">
        <v>3650000</v>
      </c>
      <c r="M956" s="1">
        <f>O956*J956*K956</f>
        <v>0</v>
      </c>
      <c r="N956" s="3"/>
      <c r="O956" s="2">
        <f>L956/J956*(1-K956)</f>
        <v>3650000</v>
      </c>
    </row>
    <row r="957" ht="14.25">
      <c r="A957" s="3" t="s">
        <v>386</v>
      </c>
      <c r="B957" s="3" t="s">
        <v>793</v>
      </c>
      <c r="C957" s="3" t="s">
        <v>794</v>
      </c>
      <c r="D957" s="3" t="s">
        <v>17</v>
      </c>
      <c r="E957" s="3" t="s">
        <v>34</v>
      </c>
      <c r="F957" s="3" t="s">
        <v>19</v>
      </c>
      <c r="G957" s="4">
        <v>0</v>
      </c>
      <c r="H957" s="4">
        <v>49241982</v>
      </c>
      <c r="I957" s="3" t="s">
        <v>89</v>
      </c>
      <c r="J957" s="4">
        <v>3</v>
      </c>
      <c r="K957" s="3" t="s">
        <v>21</v>
      </c>
      <c r="L957" s="4">
        <v>1950000</v>
      </c>
      <c r="M957" s="1">
        <f>O957*J957*K957</f>
        <v>0</v>
      </c>
      <c r="N957" s="3"/>
      <c r="O957" s="2">
        <f>L957/J957*(1-K957)</f>
        <v>650000</v>
      </c>
    </row>
    <row r="958" ht="14.25">
      <c r="A958" s="3" t="s">
        <v>386</v>
      </c>
      <c r="B958" s="3" t="s">
        <v>793</v>
      </c>
      <c r="C958" s="3" t="s">
        <v>794</v>
      </c>
      <c r="D958" s="3" t="s">
        <v>17</v>
      </c>
      <c r="E958" s="3" t="s">
        <v>34</v>
      </c>
      <c r="F958" s="3" t="s">
        <v>19</v>
      </c>
      <c r="G958" s="4">
        <v>0</v>
      </c>
      <c r="H958" s="4">
        <v>49241982</v>
      </c>
      <c r="I958" s="3" t="s">
        <v>105</v>
      </c>
      <c r="J958" s="4">
        <v>1</v>
      </c>
      <c r="K958" s="3" t="s">
        <v>21</v>
      </c>
      <c r="L958" s="4">
        <v>5600000</v>
      </c>
      <c r="M958" s="1">
        <f>O958*J958*K958</f>
        <v>0</v>
      </c>
      <c r="N958" s="3"/>
      <c r="O958" s="2">
        <f>L958/J958*(1-K958)</f>
        <v>5600000</v>
      </c>
    </row>
    <row r="959" ht="14.25">
      <c r="A959" s="3" t="s">
        <v>386</v>
      </c>
      <c r="B959" s="3" t="s">
        <v>793</v>
      </c>
      <c r="C959" s="3" t="s">
        <v>794</v>
      </c>
      <c r="D959" s="3" t="s">
        <v>17</v>
      </c>
      <c r="E959" s="3" t="s">
        <v>34</v>
      </c>
      <c r="F959" s="3" t="s">
        <v>19</v>
      </c>
      <c r="G959" s="4">
        <v>0</v>
      </c>
      <c r="H959" s="4">
        <v>49241982</v>
      </c>
      <c r="I959" s="3" t="s">
        <v>47</v>
      </c>
      <c r="J959" s="4">
        <v>48</v>
      </c>
      <c r="K959" s="3" t="s">
        <v>21</v>
      </c>
      <c r="L959" s="4">
        <v>1608000</v>
      </c>
      <c r="M959" s="1">
        <f>O959*J959*K959</f>
        <v>0</v>
      </c>
      <c r="N959" s="3"/>
      <c r="O959" s="2">
        <f>L959/J959*(1-K959)</f>
        <v>33500</v>
      </c>
    </row>
    <row r="960" ht="14.25">
      <c r="A960" s="3" t="s">
        <v>386</v>
      </c>
      <c r="B960" s="3" t="s">
        <v>793</v>
      </c>
      <c r="C960" s="3" t="s">
        <v>794</v>
      </c>
      <c r="D960" s="3" t="s">
        <v>17</v>
      </c>
      <c r="E960" s="3" t="s">
        <v>34</v>
      </c>
      <c r="F960" s="3" t="s">
        <v>19</v>
      </c>
      <c r="G960" s="4">
        <v>0</v>
      </c>
      <c r="H960" s="4">
        <v>49241982</v>
      </c>
      <c r="I960" s="3" t="s">
        <v>197</v>
      </c>
      <c r="J960" s="4">
        <v>40</v>
      </c>
      <c r="K960" s="3" t="s">
        <v>275</v>
      </c>
      <c r="L960" s="4">
        <v>1896000</v>
      </c>
      <c r="M960" s="1">
        <f>O960*J960*K960</f>
        <v>139545.60000000001</v>
      </c>
      <c r="N960" s="3"/>
      <c r="O960" s="2">
        <f>L960/J960*(1-K960)</f>
        <v>43608</v>
      </c>
    </row>
    <row r="961" ht="14.25">
      <c r="A961" s="3" t="s">
        <v>386</v>
      </c>
      <c r="B961" s="3" t="s">
        <v>793</v>
      </c>
      <c r="C961" s="3" t="s">
        <v>794</v>
      </c>
      <c r="D961" s="3" t="s">
        <v>17</v>
      </c>
      <c r="E961" s="3" t="s">
        <v>34</v>
      </c>
      <c r="F961" s="3" t="s">
        <v>19</v>
      </c>
      <c r="G961" s="4">
        <v>0</v>
      </c>
      <c r="H961" s="4">
        <v>49241982</v>
      </c>
      <c r="I961" s="3" t="s">
        <v>795</v>
      </c>
      <c r="J961" s="4">
        <v>3</v>
      </c>
      <c r="K961" s="3" t="s">
        <v>21</v>
      </c>
      <c r="L961" s="4">
        <v>739662</v>
      </c>
      <c r="M961" s="1">
        <f>O961*J961*K961</f>
        <v>0</v>
      </c>
      <c r="N961" s="3"/>
      <c r="O961" s="2">
        <f>L961/J961*(1-K961)</f>
        <v>246554</v>
      </c>
    </row>
    <row r="962" ht="14.25">
      <c r="A962" s="3" t="s">
        <v>386</v>
      </c>
      <c r="B962" s="3" t="s">
        <v>793</v>
      </c>
      <c r="C962" s="3" t="s">
        <v>794</v>
      </c>
      <c r="D962" s="3" t="s">
        <v>17</v>
      </c>
      <c r="E962" s="3" t="s">
        <v>34</v>
      </c>
      <c r="F962" s="3" t="s">
        <v>19</v>
      </c>
      <c r="G962" s="4">
        <v>0</v>
      </c>
      <c r="H962" s="4">
        <v>49241982</v>
      </c>
      <c r="I962" s="3" t="s">
        <v>51</v>
      </c>
      <c r="J962" s="4">
        <v>4</v>
      </c>
      <c r="K962" s="3" t="s">
        <v>21</v>
      </c>
      <c r="L962" s="4">
        <v>2480000</v>
      </c>
      <c r="M962" s="1">
        <f>O962*J962*K962</f>
        <v>0</v>
      </c>
      <c r="N962" s="3"/>
      <c r="O962" s="2">
        <f>L962/J962*(1-K962)</f>
        <v>620000</v>
      </c>
    </row>
    <row r="963" ht="14.25">
      <c r="A963" s="3" t="s">
        <v>386</v>
      </c>
      <c r="B963" s="3" t="s">
        <v>793</v>
      </c>
      <c r="C963" s="3" t="s">
        <v>794</v>
      </c>
      <c r="D963" s="3" t="s">
        <v>17</v>
      </c>
      <c r="E963" s="3" t="s">
        <v>34</v>
      </c>
      <c r="F963" s="3" t="s">
        <v>19</v>
      </c>
      <c r="G963" s="4">
        <v>0</v>
      </c>
      <c r="H963" s="4">
        <v>49241982</v>
      </c>
      <c r="I963" s="3" t="s">
        <v>393</v>
      </c>
      <c r="J963" s="4">
        <v>5</v>
      </c>
      <c r="K963" s="3" t="s">
        <v>21</v>
      </c>
      <c r="L963" s="4">
        <v>1250000</v>
      </c>
      <c r="M963" s="1">
        <f>O963*J963*K963</f>
        <v>0</v>
      </c>
      <c r="N963" s="3"/>
      <c r="O963" s="2">
        <f>L963/J963*(1-K963)</f>
        <v>250000</v>
      </c>
    </row>
    <row r="964" ht="14.25">
      <c r="A964" s="3" t="s">
        <v>386</v>
      </c>
      <c r="B964" s="3" t="s">
        <v>793</v>
      </c>
      <c r="C964" s="3" t="s">
        <v>794</v>
      </c>
      <c r="D964" s="3" t="s">
        <v>17</v>
      </c>
      <c r="E964" s="3" t="s">
        <v>34</v>
      </c>
      <c r="F964" s="3" t="s">
        <v>19</v>
      </c>
      <c r="G964" s="4">
        <v>0</v>
      </c>
      <c r="H964" s="4">
        <v>49241982</v>
      </c>
      <c r="I964" s="3" t="s">
        <v>29</v>
      </c>
      <c r="J964" s="4">
        <v>10</v>
      </c>
      <c r="K964" s="3" t="s">
        <v>21</v>
      </c>
      <c r="L964" s="4">
        <v>4800000</v>
      </c>
      <c r="M964" s="1">
        <f>O964*J964*K964</f>
        <v>0</v>
      </c>
      <c r="N964" s="3"/>
      <c r="O964" s="2">
        <f>L964/J964*(1-K964)</f>
        <v>480000</v>
      </c>
    </row>
    <row r="965" ht="14.25">
      <c r="A965" s="3" t="s">
        <v>386</v>
      </c>
      <c r="B965" s="3" t="s">
        <v>793</v>
      </c>
      <c r="C965" s="3" t="s">
        <v>796</v>
      </c>
      <c r="D965" s="3" t="s">
        <v>17</v>
      </c>
      <c r="E965" s="3" t="s">
        <v>389</v>
      </c>
      <c r="F965" s="3" t="s">
        <v>19</v>
      </c>
      <c r="G965" s="4">
        <v>0</v>
      </c>
      <c r="H965" s="4">
        <v>27135776</v>
      </c>
      <c r="I965" s="3" t="s">
        <v>54</v>
      </c>
      <c r="J965" s="4">
        <v>20</v>
      </c>
      <c r="K965" s="3" t="s">
        <v>774</v>
      </c>
      <c r="L965" s="4">
        <v>8688000</v>
      </c>
      <c r="M965" s="1">
        <f>O965*J965*K965</f>
        <v>333619.20000000001</v>
      </c>
      <c r="N965" s="3"/>
      <c r="O965" s="2">
        <f>L965/J965*(1-K965)</f>
        <v>417024</v>
      </c>
    </row>
    <row r="966" ht="14.25">
      <c r="A966" s="3" t="s">
        <v>386</v>
      </c>
      <c r="B966" s="3" t="s">
        <v>793</v>
      </c>
      <c r="C966" s="3" t="s">
        <v>796</v>
      </c>
      <c r="D966" s="3" t="s">
        <v>17</v>
      </c>
      <c r="E966" s="3" t="s">
        <v>389</v>
      </c>
      <c r="F966" s="3" t="s">
        <v>19</v>
      </c>
      <c r="G966" s="4">
        <v>0</v>
      </c>
      <c r="H966" s="4">
        <v>27135776</v>
      </c>
      <c r="I966" s="3" t="s">
        <v>67</v>
      </c>
      <c r="J966" s="4">
        <v>20</v>
      </c>
      <c r="K966" s="3" t="s">
        <v>774</v>
      </c>
      <c r="L966" s="4">
        <v>7770000</v>
      </c>
      <c r="M966" s="1">
        <f>O966*J966*K966</f>
        <v>298368</v>
      </c>
      <c r="N966" s="3"/>
      <c r="O966" s="2">
        <f>L966/J966*(1-K966)</f>
        <v>372960</v>
      </c>
    </row>
    <row r="967" ht="14.25">
      <c r="A967" s="3" t="s">
        <v>386</v>
      </c>
      <c r="B967" s="3" t="s">
        <v>793</v>
      </c>
      <c r="C967" s="3" t="s">
        <v>796</v>
      </c>
      <c r="D967" s="3" t="s">
        <v>17</v>
      </c>
      <c r="E967" s="3" t="s">
        <v>389</v>
      </c>
      <c r="F967" s="3" t="s">
        <v>19</v>
      </c>
      <c r="G967" s="4">
        <v>0</v>
      </c>
      <c r="H967" s="4">
        <v>27135776</v>
      </c>
      <c r="I967" s="3" t="s">
        <v>36</v>
      </c>
      <c r="J967" s="4">
        <v>20</v>
      </c>
      <c r="K967" s="3" t="s">
        <v>774</v>
      </c>
      <c r="L967" s="4">
        <v>3950000</v>
      </c>
      <c r="M967" s="1">
        <f>O967*J967*K967</f>
        <v>151680</v>
      </c>
      <c r="N967" s="3"/>
      <c r="O967" s="2">
        <f>L967/J967*(1-K967)</f>
        <v>189600</v>
      </c>
    </row>
    <row r="968" ht="14.25">
      <c r="A968" s="3" t="s">
        <v>386</v>
      </c>
      <c r="B968" s="3" t="s">
        <v>793</v>
      </c>
      <c r="C968" s="3" t="s">
        <v>796</v>
      </c>
      <c r="D968" s="3" t="s">
        <v>17</v>
      </c>
      <c r="E968" s="3" t="s">
        <v>389</v>
      </c>
      <c r="F968" s="3" t="s">
        <v>19</v>
      </c>
      <c r="G968" s="4">
        <v>0</v>
      </c>
      <c r="H968" s="4">
        <v>27135776</v>
      </c>
      <c r="I968" s="3" t="s">
        <v>185</v>
      </c>
      <c r="J968" s="4">
        <v>12</v>
      </c>
      <c r="K968" s="3" t="s">
        <v>774</v>
      </c>
      <c r="L968" s="4">
        <v>2337600</v>
      </c>
      <c r="M968" s="1">
        <f>O968*J968*K968</f>
        <v>89763.839999999997</v>
      </c>
      <c r="N968" s="3"/>
      <c r="O968" s="2">
        <f>L968/J968*(1-K968)</f>
        <v>187008</v>
      </c>
    </row>
    <row r="969" ht="14.25">
      <c r="A969" s="3" t="s">
        <v>386</v>
      </c>
      <c r="B969" s="3" t="s">
        <v>793</v>
      </c>
      <c r="C969" s="3" t="s">
        <v>796</v>
      </c>
      <c r="D969" s="3" t="s">
        <v>17</v>
      </c>
      <c r="E969" s="3" t="s">
        <v>389</v>
      </c>
      <c r="F969" s="3" t="s">
        <v>19</v>
      </c>
      <c r="G969" s="4">
        <v>0</v>
      </c>
      <c r="H969" s="4">
        <v>27135776</v>
      </c>
      <c r="I969" s="3" t="s">
        <v>86</v>
      </c>
      <c r="J969" s="4">
        <v>1</v>
      </c>
      <c r="K969" s="3" t="s">
        <v>21</v>
      </c>
      <c r="L969" s="4">
        <v>5300000</v>
      </c>
      <c r="M969" s="1">
        <f>O969*J969*K969</f>
        <v>0</v>
      </c>
      <c r="N969" s="3"/>
      <c r="O969" s="2">
        <f>L969/J969*(1-K969)</f>
        <v>5300000</v>
      </c>
    </row>
    <row r="970" ht="14.25">
      <c r="A970" s="3" t="s">
        <v>386</v>
      </c>
      <c r="B970" s="3" t="s">
        <v>793</v>
      </c>
      <c r="C970" s="3" t="s">
        <v>797</v>
      </c>
      <c r="D970" s="3" t="s">
        <v>17</v>
      </c>
      <c r="E970" s="3" t="s">
        <v>43</v>
      </c>
      <c r="F970" s="3" t="s">
        <v>19</v>
      </c>
      <c r="G970" s="4">
        <v>0</v>
      </c>
      <c r="H970" s="4">
        <v>1789536</v>
      </c>
      <c r="I970" s="3" t="s">
        <v>113</v>
      </c>
      <c r="J970" s="4">
        <v>24</v>
      </c>
      <c r="K970" s="3" t="s">
        <v>21</v>
      </c>
      <c r="L970" s="4">
        <v>850008</v>
      </c>
      <c r="M970" s="1">
        <f>O970*J970*K970</f>
        <v>0</v>
      </c>
      <c r="N970" s="3"/>
      <c r="O970" s="2">
        <f>L970/J970*(1-K970)</f>
        <v>35417</v>
      </c>
    </row>
    <row r="971" ht="14.25">
      <c r="A971" s="3" t="s">
        <v>386</v>
      </c>
      <c r="B971" s="3" t="s">
        <v>793</v>
      </c>
      <c r="C971" s="3" t="s">
        <v>797</v>
      </c>
      <c r="D971" s="3" t="s">
        <v>17</v>
      </c>
      <c r="E971" s="3" t="s">
        <v>43</v>
      </c>
      <c r="F971" s="3" t="s">
        <v>19</v>
      </c>
      <c r="G971" s="4">
        <v>0</v>
      </c>
      <c r="H971" s="4">
        <v>1789536</v>
      </c>
      <c r="I971" s="3" t="s">
        <v>798</v>
      </c>
      <c r="J971" s="4">
        <v>24</v>
      </c>
      <c r="K971" s="3" t="s">
        <v>21</v>
      </c>
      <c r="L971" s="4">
        <v>939528</v>
      </c>
      <c r="M971" s="1">
        <f>O971*J971*K971</f>
        <v>0</v>
      </c>
      <c r="N971" s="3"/>
      <c r="O971" s="2">
        <f>L971/J971*(1-K971)</f>
        <v>39147</v>
      </c>
    </row>
    <row r="972" ht="14.25">
      <c r="A972" s="3" t="s">
        <v>712</v>
      </c>
      <c r="B972" s="3" t="s">
        <v>799</v>
      </c>
      <c r="C972" s="3" t="s">
        <v>800</v>
      </c>
      <c r="D972" s="3" t="s">
        <v>159</v>
      </c>
      <c r="E972" s="3" t="s">
        <v>324</v>
      </c>
      <c r="F972" s="3" t="s">
        <v>19</v>
      </c>
      <c r="G972" s="4">
        <v>111072000</v>
      </c>
      <c r="H972" s="4">
        <v>111072000</v>
      </c>
      <c r="I972" s="3" t="s">
        <v>171</v>
      </c>
      <c r="J972" s="4">
        <v>2</v>
      </c>
      <c r="K972" s="3" t="s">
        <v>455</v>
      </c>
      <c r="L972" s="4">
        <v>11740000</v>
      </c>
      <c r="M972" s="1">
        <f>O972*J972*K972</f>
        <v>1878400</v>
      </c>
      <c r="N972" s="3"/>
      <c r="O972" s="2">
        <f>L972/J972*(1-K972)</f>
        <v>4696000</v>
      </c>
    </row>
    <row r="973" ht="14.25">
      <c r="A973" s="3" t="s">
        <v>712</v>
      </c>
      <c r="B973" s="3" t="s">
        <v>799</v>
      </c>
      <c r="C973" s="3" t="s">
        <v>800</v>
      </c>
      <c r="D973" s="3" t="s">
        <v>159</v>
      </c>
      <c r="E973" s="3" t="s">
        <v>324</v>
      </c>
      <c r="F973" s="3" t="s">
        <v>19</v>
      </c>
      <c r="G973" s="4">
        <v>111072000</v>
      </c>
      <c r="H973" s="4">
        <v>111072000</v>
      </c>
      <c r="I973" s="3" t="s">
        <v>801</v>
      </c>
      <c r="J973" s="4">
        <v>1</v>
      </c>
      <c r="K973" s="3" t="s">
        <v>455</v>
      </c>
      <c r="L973" s="4">
        <v>6100000</v>
      </c>
      <c r="M973" s="1">
        <f>O973*J973*K973</f>
        <v>976000</v>
      </c>
      <c r="N973" s="3"/>
      <c r="O973" s="2">
        <f>L973/J973*(1-K973)</f>
        <v>4880000</v>
      </c>
    </row>
    <row r="974" ht="14.25">
      <c r="A974" s="3" t="s">
        <v>712</v>
      </c>
      <c r="B974" s="3" t="s">
        <v>799</v>
      </c>
      <c r="C974" s="3" t="s">
        <v>800</v>
      </c>
      <c r="D974" s="3" t="s">
        <v>159</v>
      </c>
      <c r="E974" s="3" t="s">
        <v>324</v>
      </c>
      <c r="F974" s="3" t="s">
        <v>19</v>
      </c>
      <c r="G974" s="4">
        <v>111072000</v>
      </c>
      <c r="H974" s="4">
        <v>111072000</v>
      </c>
      <c r="I974" s="3" t="s">
        <v>454</v>
      </c>
      <c r="J974" s="4">
        <v>1800</v>
      </c>
      <c r="K974" s="3" t="s">
        <v>326</v>
      </c>
      <c r="L974" s="4">
        <v>90000000</v>
      </c>
      <c r="M974" s="1">
        <f>O974*J974*K974</f>
        <v>18900000</v>
      </c>
      <c r="N974" s="3"/>
      <c r="O974" s="2">
        <f>L974/J974*(1-K974)</f>
        <v>35000</v>
      </c>
    </row>
    <row r="975" ht="14.25">
      <c r="A975" s="3" t="s">
        <v>712</v>
      </c>
      <c r="B975" s="3" t="s">
        <v>799</v>
      </c>
      <c r="C975" s="3" t="s">
        <v>800</v>
      </c>
      <c r="D975" s="3" t="s">
        <v>159</v>
      </c>
      <c r="E975" s="3" t="s">
        <v>324</v>
      </c>
      <c r="F975" s="3" t="s">
        <v>19</v>
      </c>
      <c r="G975" s="4">
        <v>111072000</v>
      </c>
      <c r="H975" s="4">
        <v>111072000</v>
      </c>
      <c r="I975" s="3" t="s">
        <v>802</v>
      </c>
      <c r="J975" s="4">
        <v>10</v>
      </c>
      <c r="K975" s="3" t="s">
        <v>455</v>
      </c>
      <c r="L975" s="4">
        <v>6850000</v>
      </c>
      <c r="M975" s="1">
        <f>O975*J975*K975</f>
        <v>1096000</v>
      </c>
      <c r="N975" s="3"/>
      <c r="O975" s="2">
        <f>L975/J975*(1-K975)</f>
        <v>548000</v>
      </c>
    </row>
    <row r="976" ht="14.25">
      <c r="A976" s="3" t="s">
        <v>712</v>
      </c>
      <c r="B976" s="3" t="s">
        <v>799</v>
      </c>
      <c r="C976" s="3" t="s">
        <v>800</v>
      </c>
      <c r="D976" s="3" t="s">
        <v>159</v>
      </c>
      <c r="E976" s="3" t="s">
        <v>324</v>
      </c>
      <c r="F976" s="3" t="s">
        <v>19</v>
      </c>
      <c r="G976" s="4">
        <v>111072000</v>
      </c>
      <c r="H976" s="4">
        <v>111072000</v>
      </c>
      <c r="I976" s="3" t="s">
        <v>803</v>
      </c>
      <c r="J976" s="4">
        <v>10</v>
      </c>
      <c r="K976" s="3" t="s">
        <v>455</v>
      </c>
      <c r="L976" s="4">
        <v>7250000</v>
      </c>
      <c r="M976" s="1">
        <f>O976*J976*K976</f>
        <v>1160000</v>
      </c>
      <c r="N976" s="3"/>
      <c r="O976" s="2">
        <f>L976/J976*(1-K976)</f>
        <v>580000</v>
      </c>
    </row>
    <row r="977" ht="14.25">
      <c r="A977" s="3" t="s">
        <v>712</v>
      </c>
      <c r="B977" s="3" t="s">
        <v>799</v>
      </c>
      <c r="C977" s="3" t="s">
        <v>800</v>
      </c>
      <c r="D977" s="3" t="s">
        <v>159</v>
      </c>
      <c r="E977" s="3" t="s">
        <v>324</v>
      </c>
      <c r="F977" s="3" t="s">
        <v>19</v>
      </c>
      <c r="G977" s="4">
        <v>111072000</v>
      </c>
      <c r="H977" s="4">
        <v>111072000</v>
      </c>
      <c r="I977" s="3" t="s">
        <v>290</v>
      </c>
      <c r="J977" s="4">
        <v>5</v>
      </c>
      <c r="K977" s="3" t="s">
        <v>455</v>
      </c>
      <c r="L977" s="4">
        <v>3175000</v>
      </c>
      <c r="M977" s="1">
        <f>O977*J977*K977</f>
        <v>508000</v>
      </c>
      <c r="N977" s="3"/>
      <c r="O977" s="2">
        <f>L977/J977*(1-K977)</f>
        <v>508000</v>
      </c>
    </row>
    <row r="978" ht="14.25">
      <c r="A978" s="3" t="s">
        <v>712</v>
      </c>
      <c r="B978" s="3" t="s">
        <v>799</v>
      </c>
      <c r="C978" s="3" t="s">
        <v>800</v>
      </c>
      <c r="D978" s="3" t="s">
        <v>159</v>
      </c>
      <c r="E978" s="3" t="s">
        <v>324</v>
      </c>
      <c r="F978" s="3" t="s">
        <v>19</v>
      </c>
      <c r="G978" s="4">
        <v>111072000</v>
      </c>
      <c r="H978" s="4">
        <v>111072000</v>
      </c>
      <c r="I978" s="3" t="s">
        <v>35</v>
      </c>
      <c r="J978" s="4">
        <v>4</v>
      </c>
      <c r="K978" s="3" t="s">
        <v>21</v>
      </c>
      <c r="L978" s="4">
        <v>14800000</v>
      </c>
      <c r="M978" s="1">
        <f>O978*J978*K978</f>
        <v>0</v>
      </c>
      <c r="N978" s="3"/>
      <c r="O978" s="2">
        <f>L978/J978*(1-K978)</f>
        <v>3700000</v>
      </c>
    </row>
    <row r="979" ht="14.25">
      <c r="A979" s="3" t="s">
        <v>712</v>
      </c>
      <c r="B979" s="3" t="s">
        <v>799</v>
      </c>
      <c r="C979" s="3" t="s">
        <v>800</v>
      </c>
      <c r="D979" s="3" t="s">
        <v>159</v>
      </c>
      <c r="E979" s="3" t="s">
        <v>324</v>
      </c>
      <c r="F979" s="3" t="s">
        <v>19</v>
      </c>
      <c r="G979" s="4">
        <v>111072000</v>
      </c>
      <c r="H979" s="4">
        <v>111072000</v>
      </c>
      <c r="I979" s="3" t="s">
        <v>32</v>
      </c>
      <c r="J979" s="4">
        <v>360</v>
      </c>
      <c r="K979" s="3" t="s">
        <v>21</v>
      </c>
      <c r="L979" s="4">
        <v>8100000</v>
      </c>
      <c r="M979" s="1">
        <f>O979*J979*K979</f>
        <v>0</v>
      </c>
      <c r="N979" s="3"/>
      <c r="O979" s="2">
        <f>L979/J979*(1-K979)</f>
        <v>22500</v>
      </c>
    </row>
    <row r="980" ht="14.25">
      <c r="A980" s="3" t="s">
        <v>712</v>
      </c>
      <c r="B980" s="3" t="s">
        <v>799</v>
      </c>
      <c r="C980" s="3" t="s">
        <v>800</v>
      </c>
      <c r="D980" s="3" t="s">
        <v>159</v>
      </c>
      <c r="E980" s="3" t="s">
        <v>324</v>
      </c>
      <c r="F980" s="3" t="s">
        <v>19</v>
      </c>
      <c r="G980" s="4">
        <v>111072000</v>
      </c>
      <c r="H980" s="4">
        <v>111072000</v>
      </c>
      <c r="I980" s="3" t="s">
        <v>108</v>
      </c>
      <c r="J980" s="4">
        <v>360</v>
      </c>
      <c r="K980" s="3" t="s">
        <v>21</v>
      </c>
      <c r="L980" s="4">
        <v>8280000</v>
      </c>
      <c r="M980" s="1">
        <f>O980*J980*K980</f>
        <v>0</v>
      </c>
      <c r="N980" s="3"/>
      <c r="O980" s="2">
        <f>L980/J980*(1-K980)</f>
        <v>23000</v>
      </c>
    </row>
    <row r="981" ht="14.25">
      <c r="A981" s="3" t="s">
        <v>712</v>
      </c>
      <c r="B981" s="3" t="s">
        <v>799</v>
      </c>
      <c r="C981" s="3" t="s">
        <v>804</v>
      </c>
      <c r="D981" s="3" t="s">
        <v>17</v>
      </c>
      <c r="E981" s="3" t="s">
        <v>805</v>
      </c>
      <c r="F981" s="3" t="s">
        <v>19</v>
      </c>
      <c r="G981" s="4">
        <v>0</v>
      </c>
      <c r="H981" s="4">
        <v>4520000</v>
      </c>
      <c r="I981" s="3" t="s">
        <v>39</v>
      </c>
      <c r="J981" s="4">
        <v>1</v>
      </c>
      <c r="K981" s="3" t="s">
        <v>21</v>
      </c>
      <c r="L981" s="4">
        <v>3800000</v>
      </c>
      <c r="M981" s="1">
        <f>O981*J981*K981</f>
        <v>0</v>
      </c>
      <c r="N981" s="3"/>
      <c r="O981" s="2">
        <f>L981/J981*(1-K981)</f>
        <v>3800000</v>
      </c>
    </row>
    <row r="982" ht="14.25">
      <c r="A982" s="3" t="s">
        <v>712</v>
      </c>
      <c r="B982" s="3" t="s">
        <v>799</v>
      </c>
      <c r="C982" s="3" t="s">
        <v>804</v>
      </c>
      <c r="D982" s="3" t="s">
        <v>17</v>
      </c>
      <c r="E982" s="3" t="s">
        <v>805</v>
      </c>
      <c r="F982" s="3" t="s">
        <v>19</v>
      </c>
      <c r="G982" s="4">
        <v>0</v>
      </c>
      <c r="H982" s="4">
        <v>4520000</v>
      </c>
      <c r="I982" s="3" t="s">
        <v>325</v>
      </c>
      <c r="J982" s="4">
        <v>4</v>
      </c>
      <c r="K982" s="3" t="s">
        <v>355</v>
      </c>
      <c r="L982" s="4">
        <v>800000</v>
      </c>
      <c r="M982" s="1">
        <f>O982*J982*K982</f>
        <v>72000</v>
      </c>
      <c r="N982" s="3"/>
      <c r="O982" s="2">
        <f>L982/J982*(1-K982)</f>
        <v>180000</v>
      </c>
    </row>
    <row r="983" ht="14.25">
      <c r="A983" s="3" t="s">
        <v>712</v>
      </c>
      <c r="B983" s="3" t="s">
        <v>806</v>
      </c>
      <c r="C983" s="3" t="s">
        <v>807</v>
      </c>
      <c r="D983" s="3" t="s">
        <v>17</v>
      </c>
      <c r="E983" s="3" t="s">
        <v>808</v>
      </c>
      <c r="F983" s="3" t="s">
        <v>19</v>
      </c>
      <c r="G983" s="4">
        <v>0</v>
      </c>
      <c r="H983" s="4">
        <v>4200000</v>
      </c>
      <c r="I983" s="3" t="s">
        <v>35</v>
      </c>
      <c r="J983" s="4">
        <v>1</v>
      </c>
      <c r="K983" s="3" t="s">
        <v>21</v>
      </c>
      <c r="L983" s="4">
        <v>4200000</v>
      </c>
      <c r="M983" s="1">
        <f>O983*J983*K983</f>
        <v>0</v>
      </c>
      <c r="N983" s="3"/>
      <c r="O983" s="2">
        <f>L983/J983*(1-K983)</f>
        <v>4200000</v>
      </c>
    </row>
    <row r="984" ht="14.25">
      <c r="A984" s="3" t="s">
        <v>712</v>
      </c>
      <c r="B984" s="3" t="s">
        <v>712</v>
      </c>
      <c r="C984" s="3" t="s">
        <v>809</v>
      </c>
      <c r="D984" s="3" t="s">
        <v>17</v>
      </c>
      <c r="E984" s="3" t="s">
        <v>436</v>
      </c>
      <c r="F984" s="3" t="s">
        <v>19</v>
      </c>
      <c r="G984" s="4">
        <v>0</v>
      </c>
      <c r="H984" s="4">
        <v>3900000</v>
      </c>
      <c r="I984" s="3" t="s">
        <v>35</v>
      </c>
      <c r="J984" s="4">
        <v>1</v>
      </c>
      <c r="K984" s="3" t="s">
        <v>21</v>
      </c>
      <c r="L984" s="4">
        <v>3900000</v>
      </c>
      <c r="M984" s="1">
        <f>O984*J984*K984</f>
        <v>0</v>
      </c>
      <c r="N984" s="3"/>
      <c r="O984" s="2">
        <f>L984/J984*(1-K984)</f>
        <v>3900000</v>
      </c>
    </row>
    <row r="985" ht="14.25">
      <c r="A985" s="3" t="s">
        <v>712</v>
      </c>
      <c r="B985" s="3" t="s">
        <v>799</v>
      </c>
      <c r="C985" s="3" t="s">
        <v>810</v>
      </c>
      <c r="D985" s="3" t="s">
        <v>17</v>
      </c>
      <c r="E985" s="3" t="s">
        <v>811</v>
      </c>
      <c r="F985" s="3" t="s">
        <v>19</v>
      </c>
      <c r="G985" s="4">
        <v>0</v>
      </c>
      <c r="H985" s="4">
        <v>3800000</v>
      </c>
      <c r="I985" s="3" t="s">
        <v>39</v>
      </c>
      <c r="J985" s="4">
        <v>1</v>
      </c>
      <c r="K985" s="3" t="s">
        <v>21</v>
      </c>
      <c r="L985" s="4">
        <v>3800000</v>
      </c>
      <c r="M985" s="1">
        <f>O985*J985*K985</f>
        <v>0</v>
      </c>
      <c r="N985" s="3"/>
      <c r="O985" s="2">
        <f>L985/J985*(1-K985)</f>
        <v>3800000</v>
      </c>
    </row>
    <row r="986" ht="14.25">
      <c r="A986" s="3" t="s">
        <v>712</v>
      </c>
      <c r="B986" s="3" t="s">
        <v>799</v>
      </c>
      <c r="C986" s="3" t="s">
        <v>812</v>
      </c>
      <c r="D986" s="3" t="s">
        <v>159</v>
      </c>
      <c r="E986" s="3" t="s">
        <v>813</v>
      </c>
      <c r="F986" s="3" t="s">
        <v>19</v>
      </c>
      <c r="G986" s="4">
        <v>452000</v>
      </c>
      <c r="H986" s="4">
        <v>7652000</v>
      </c>
      <c r="I986" s="3" t="s">
        <v>45</v>
      </c>
      <c r="J986" s="4">
        <v>24</v>
      </c>
      <c r="K986" s="3" t="s">
        <v>21</v>
      </c>
      <c r="L986" s="4">
        <v>720000</v>
      </c>
      <c r="M986" s="1">
        <f>O986*J986*K986</f>
        <v>0</v>
      </c>
      <c r="N986" s="3"/>
      <c r="O986" s="2">
        <f>L986/J986*(1-K986)</f>
        <v>30000</v>
      </c>
    </row>
    <row r="987" ht="14.25">
      <c r="A987" s="3" t="s">
        <v>712</v>
      </c>
      <c r="B987" s="3" t="s">
        <v>799</v>
      </c>
      <c r="C987" s="3" t="s">
        <v>812</v>
      </c>
      <c r="D987" s="3" t="s">
        <v>159</v>
      </c>
      <c r="E987" s="3" t="s">
        <v>813</v>
      </c>
      <c r="F987" s="3" t="s">
        <v>19</v>
      </c>
      <c r="G987" s="4">
        <v>452000</v>
      </c>
      <c r="H987" s="4">
        <v>7652000</v>
      </c>
      <c r="I987" s="3" t="s">
        <v>44</v>
      </c>
      <c r="J987" s="4">
        <v>24</v>
      </c>
      <c r="K987" s="3" t="s">
        <v>21</v>
      </c>
      <c r="L987" s="4">
        <v>720000</v>
      </c>
      <c r="M987" s="1">
        <f>O987*J987*K987</f>
        <v>0</v>
      </c>
      <c r="N987" s="3"/>
      <c r="O987" s="2">
        <f>L987/J987*(1-K987)</f>
        <v>30000</v>
      </c>
    </row>
    <row r="988" ht="14.25">
      <c r="A988" s="3" t="s">
        <v>712</v>
      </c>
      <c r="B988" s="3" t="s">
        <v>799</v>
      </c>
      <c r="C988" s="3" t="s">
        <v>812</v>
      </c>
      <c r="D988" s="3" t="s">
        <v>159</v>
      </c>
      <c r="E988" s="3" t="s">
        <v>813</v>
      </c>
      <c r="F988" s="3" t="s">
        <v>19</v>
      </c>
      <c r="G988" s="4">
        <v>452000</v>
      </c>
      <c r="H988" s="4">
        <v>7652000</v>
      </c>
      <c r="I988" s="3" t="s">
        <v>47</v>
      </c>
      <c r="J988" s="4">
        <v>48</v>
      </c>
      <c r="K988" s="3" t="s">
        <v>21</v>
      </c>
      <c r="L988" s="4">
        <v>1608000</v>
      </c>
      <c r="M988" s="1">
        <f>O988*J988*K988</f>
        <v>0</v>
      </c>
      <c r="N988" s="3"/>
      <c r="O988" s="2">
        <f>L988/J988*(1-K988)</f>
        <v>33500</v>
      </c>
    </row>
    <row r="989" ht="14.25">
      <c r="A989" s="3" t="s">
        <v>712</v>
      </c>
      <c r="B989" s="3" t="s">
        <v>799</v>
      </c>
      <c r="C989" s="3" t="s">
        <v>812</v>
      </c>
      <c r="D989" s="3" t="s">
        <v>159</v>
      </c>
      <c r="E989" s="3" t="s">
        <v>813</v>
      </c>
      <c r="F989" s="3" t="s">
        <v>19</v>
      </c>
      <c r="G989" s="4">
        <v>452000</v>
      </c>
      <c r="H989" s="4">
        <v>7652000</v>
      </c>
      <c r="I989" s="3" t="s">
        <v>419</v>
      </c>
      <c r="J989" s="4">
        <v>24</v>
      </c>
      <c r="K989" s="3" t="s">
        <v>21</v>
      </c>
      <c r="L989" s="4">
        <v>804000</v>
      </c>
      <c r="M989" s="1">
        <f>O989*J989*K989</f>
        <v>0</v>
      </c>
      <c r="N989" s="3"/>
      <c r="O989" s="2">
        <f>L989/J989*(1-K989)</f>
        <v>33500</v>
      </c>
    </row>
    <row r="990" ht="14.25">
      <c r="A990" s="3" t="s">
        <v>712</v>
      </c>
      <c r="B990" s="3" t="s">
        <v>799</v>
      </c>
      <c r="C990" s="3" t="s">
        <v>812</v>
      </c>
      <c r="D990" s="3" t="s">
        <v>159</v>
      </c>
      <c r="E990" s="3" t="s">
        <v>813</v>
      </c>
      <c r="F990" s="3" t="s">
        <v>19</v>
      </c>
      <c r="G990" s="4">
        <v>452000</v>
      </c>
      <c r="H990" s="4">
        <v>7652000</v>
      </c>
      <c r="I990" s="3" t="s">
        <v>39</v>
      </c>
      <c r="J990" s="4">
        <v>1</v>
      </c>
      <c r="K990" s="3" t="s">
        <v>21</v>
      </c>
      <c r="L990" s="4">
        <v>3800000</v>
      </c>
      <c r="M990" s="1">
        <f>O990*J990*K990</f>
        <v>0</v>
      </c>
      <c r="N990" s="3"/>
      <c r="O990" s="2">
        <f>L990/J990*(1-K990)</f>
        <v>3800000</v>
      </c>
    </row>
    <row r="991" ht="14.25">
      <c r="A991" s="3" t="s">
        <v>712</v>
      </c>
      <c r="B991" s="3" t="s">
        <v>712</v>
      </c>
      <c r="C991" s="3" t="s">
        <v>814</v>
      </c>
      <c r="D991" s="3" t="s">
        <v>17</v>
      </c>
      <c r="E991" s="3" t="s">
        <v>88</v>
      </c>
      <c r="F991" s="3" t="s">
        <v>19</v>
      </c>
      <c r="G991" s="4">
        <v>0</v>
      </c>
      <c r="H991" s="4">
        <v>4179088</v>
      </c>
      <c r="I991" s="3" t="s">
        <v>731</v>
      </c>
      <c r="J991" s="4">
        <v>5</v>
      </c>
      <c r="K991" s="3" t="s">
        <v>21</v>
      </c>
      <c r="L991" s="4">
        <v>2500000</v>
      </c>
      <c r="M991" s="1">
        <f>O991*J991*K991</f>
        <v>0</v>
      </c>
      <c r="N991" s="3"/>
      <c r="O991" s="2">
        <f>L991/J991*(1-K991)</f>
        <v>500000</v>
      </c>
    </row>
    <row r="992" ht="14.25">
      <c r="A992" s="3" t="s">
        <v>712</v>
      </c>
      <c r="B992" s="3" t="s">
        <v>712</v>
      </c>
      <c r="C992" s="3" t="s">
        <v>814</v>
      </c>
      <c r="D992" s="3" t="s">
        <v>17</v>
      </c>
      <c r="E992" s="3" t="s">
        <v>88</v>
      </c>
      <c r="F992" s="3" t="s">
        <v>19</v>
      </c>
      <c r="G992" s="4">
        <v>0</v>
      </c>
      <c r="H992" s="4">
        <v>4179088</v>
      </c>
      <c r="I992" s="3" t="s">
        <v>283</v>
      </c>
      <c r="J992" s="4">
        <v>1</v>
      </c>
      <c r="K992" s="3" t="s">
        <v>21</v>
      </c>
      <c r="L992" s="4">
        <v>1380000</v>
      </c>
      <c r="M992" s="1">
        <f>O992*J992*K992</f>
        <v>0</v>
      </c>
      <c r="N992" s="3"/>
      <c r="O992" s="2">
        <f>L992/J992*(1-K992)</f>
        <v>1380000</v>
      </c>
    </row>
    <row r="993" ht="14.25">
      <c r="A993" s="3" t="s">
        <v>712</v>
      </c>
      <c r="B993" s="3" t="s">
        <v>712</v>
      </c>
      <c r="C993" s="3" t="s">
        <v>814</v>
      </c>
      <c r="D993" s="3" t="s">
        <v>17</v>
      </c>
      <c r="E993" s="3" t="s">
        <v>88</v>
      </c>
      <c r="F993" s="3" t="s">
        <v>19</v>
      </c>
      <c r="G993" s="4">
        <v>0</v>
      </c>
      <c r="H993" s="4">
        <v>4179088</v>
      </c>
      <c r="I993" s="3" t="s">
        <v>91</v>
      </c>
      <c r="J993" s="4">
        <v>24</v>
      </c>
      <c r="K993" s="3" t="s">
        <v>21</v>
      </c>
      <c r="L993" s="4">
        <v>299088</v>
      </c>
      <c r="M993" s="1">
        <f>O993*J993*K993</f>
        <v>0</v>
      </c>
      <c r="N993" s="3"/>
      <c r="O993" s="2">
        <f>L993/J993*(1-K993)</f>
        <v>12462</v>
      </c>
    </row>
    <row r="994" ht="14.25">
      <c r="A994" s="3" t="s">
        <v>712</v>
      </c>
      <c r="B994" s="3" t="s">
        <v>712</v>
      </c>
      <c r="C994" s="3" t="s">
        <v>815</v>
      </c>
      <c r="D994" s="3" t="s">
        <v>17</v>
      </c>
      <c r="E994" s="3" t="s">
        <v>23</v>
      </c>
      <c r="F994" s="3" t="s">
        <v>19</v>
      </c>
      <c r="G994" s="4">
        <v>0</v>
      </c>
      <c r="H994" s="4">
        <v>3975000</v>
      </c>
      <c r="I994" s="3" t="s">
        <v>591</v>
      </c>
      <c r="J994" s="4">
        <v>15</v>
      </c>
      <c r="K994" s="3" t="s">
        <v>21</v>
      </c>
      <c r="L994" s="4">
        <v>3975000</v>
      </c>
      <c r="M994" s="1">
        <f>O994*J994*K994</f>
        <v>0</v>
      </c>
      <c r="N994" s="3"/>
      <c r="O994" s="2">
        <f>L994/J994*(1-K994)</f>
        <v>265000</v>
      </c>
    </row>
    <row r="995" ht="14.25">
      <c r="A995" s="3" t="s">
        <v>712</v>
      </c>
      <c r="B995" s="3" t="s">
        <v>712</v>
      </c>
      <c r="C995" s="3" t="s">
        <v>816</v>
      </c>
      <c r="D995" s="3" t="s">
        <v>17</v>
      </c>
      <c r="E995" s="3" t="s">
        <v>340</v>
      </c>
      <c r="F995" s="3" t="s">
        <v>19</v>
      </c>
      <c r="G995" s="4">
        <v>0</v>
      </c>
      <c r="H995" s="4">
        <v>1420000</v>
      </c>
      <c r="I995" s="3" t="s">
        <v>649</v>
      </c>
      <c r="J995" s="4">
        <v>4</v>
      </c>
      <c r="K995" s="3" t="s">
        <v>21</v>
      </c>
      <c r="L995" s="4">
        <v>700000</v>
      </c>
      <c r="M995" s="1">
        <f>O995*J995*K995</f>
        <v>0</v>
      </c>
      <c r="N995" s="3"/>
      <c r="O995" s="2">
        <f>L995/J995*(1-K995)</f>
        <v>175000</v>
      </c>
    </row>
    <row r="996" ht="14.25">
      <c r="A996" s="3" t="s">
        <v>712</v>
      </c>
      <c r="B996" s="3" t="s">
        <v>712</v>
      </c>
      <c r="C996" s="3" t="s">
        <v>816</v>
      </c>
      <c r="D996" s="3" t="s">
        <v>17</v>
      </c>
      <c r="E996" s="3" t="s">
        <v>340</v>
      </c>
      <c r="F996" s="3" t="s">
        <v>19</v>
      </c>
      <c r="G996" s="4">
        <v>0</v>
      </c>
      <c r="H996" s="4">
        <v>1420000</v>
      </c>
      <c r="I996" s="3" t="s">
        <v>817</v>
      </c>
      <c r="J996" s="4">
        <v>4</v>
      </c>
      <c r="K996" s="3" t="s">
        <v>21</v>
      </c>
      <c r="L996" s="4">
        <v>720000</v>
      </c>
      <c r="M996" s="1">
        <f>O996*J996*K996</f>
        <v>0</v>
      </c>
      <c r="N996" s="3"/>
      <c r="O996" s="2">
        <f>L996/J996*(1-K996)</f>
        <v>180000</v>
      </c>
    </row>
    <row r="997" ht="14.25">
      <c r="A997" s="3" t="s">
        <v>396</v>
      </c>
      <c r="B997" s="3" t="s">
        <v>818</v>
      </c>
      <c r="C997" s="3" t="s">
        <v>819</v>
      </c>
      <c r="D997" s="3" t="s">
        <v>17</v>
      </c>
      <c r="E997" s="3" t="s">
        <v>820</v>
      </c>
      <c r="F997" s="3" t="s">
        <v>19</v>
      </c>
      <c r="G997" s="4">
        <v>0</v>
      </c>
      <c r="H997" s="4">
        <v>6825000</v>
      </c>
      <c r="I997" s="3" t="s">
        <v>283</v>
      </c>
      <c r="J997" s="4">
        <v>5</v>
      </c>
      <c r="K997" s="3" t="s">
        <v>21</v>
      </c>
      <c r="L997" s="4">
        <v>6825000</v>
      </c>
      <c r="M997" s="1">
        <f>O997*J997*K997</f>
        <v>0</v>
      </c>
      <c r="N997" s="3"/>
      <c r="O997" s="2">
        <f>L997/J997*(1-K997)</f>
        <v>1365000</v>
      </c>
    </row>
    <row r="998" ht="14.25">
      <c r="A998" s="3" t="s">
        <v>396</v>
      </c>
      <c r="B998" s="3" t="s">
        <v>396</v>
      </c>
      <c r="C998" s="3" t="s">
        <v>821</v>
      </c>
      <c r="D998" s="3" t="s">
        <v>17</v>
      </c>
      <c r="E998" s="3" t="s">
        <v>513</v>
      </c>
      <c r="F998" s="3" t="s">
        <v>19</v>
      </c>
      <c r="G998" s="4">
        <v>0</v>
      </c>
      <c r="H998" s="4">
        <v>17979000</v>
      </c>
      <c r="I998" s="3" t="s">
        <v>82</v>
      </c>
      <c r="J998" s="4">
        <v>2</v>
      </c>
      <c r="K998" s="3" t="s">
        <v>21</v>
      </c>
      <c r="L998" s="4">
        <v>8000000</v>
      </c>
      <c r="M998" s="1">
        <f>O998*J998*K998</f>
        <v>0</v>
      </c>
      <c r="N998" s="3"/>
      <c r="O998" s="2">
        <f>L998/J998*(1-K998)</f>
        <v>4000000</v>
      </c>
    </row>
    <row r="999" ht="14.25">
      <c r="A999" s="3" t="s">
        <v>396</v>
      </c>
      <c r="B999" s="3" t="s">
        <v>396</v>
      </c>
      <c r="C999" s="3" t="s">
        <v>821</v>
      </c>
      <c r="D999" s="3" t="s">
        <v>17</v>
      </c>
      <c r="E999" s="3" t="s">
        <v>513</v>
      </c>
      <c r="F999" s="3" t="s">
        <v>19</v>
      </c>
      <c r="G999" s="4">
        <v>0</v>
      </c>
      <c r="H999" s="4">
        <v>17979000</v>
      </c>
      <c r="I999" s="3" t="s">
        <v>171</v>
      </c>
      <c r="J999" s="4">
        <v>2</v>
      </c>
      <c r="K999" s="3" t="s">
        <v>21</v>
      </c>
      <c r="L999" s="4">
        <v>9979000</v>
      </c>
      <c r="M999" s="1">
        <f>O999*J999*K999</f>
        <v>0</v>
      </c>
      <c r="N999" s="3"/>
      <c r="O999" s="2">
        <f>L999/J999*(1-K999)</f>
        <v>4989500</v>
      </c>
    </row>
    <row r="1000" ht="14.25">
      <c r="A1000" s="3" t="s">
        <v>396</v>
      </c>
      <c r="B1000" s="3" t="s">
        <v>396</v>
      </c>
      <c r="C1000" s="3" t="s">
        <v>821</v>
      </c>
      <c r="D1000" s="3" t="s">
        <v>17</v>
      </c>
      <c r="E1000" s="3" t="s">
        <v>513</v>
      </c>
      <c r="F1000" s="3" t="s">
        <v>19</v>
      </c>
      <c r="G1000" s="4">
        <v>0</v>
      </c>
      <c r="H1000" s="4">
        <v>17979000</v>
      </c>
      <c r="I1000" s="3" t="s">
        <v>822</v>
      </c>
      <c r="J1000" s="4">
        <v>1</v>
      </c>
      <c r="K1000" s="3" t="s">
        <v>21</v>
      </c>
      <c r="L1000" s="4">
        <v>0</v>
      </c>
      <c r="M1000" s="1">
        <f>O1000*J1000*K1000</f>
        <v>0</v>
      </c>
      <c r="N1000" s="3"/>
      <c r="O1000" s="2">
        <f>L1000/J1000*(1-K1000)</f>
        <v>0</v>
      </c>
    </row>
    <row r="1001" ht="14.25">
      <c r="A1001" s="3" t="s">
        <v>396</v>
      </c>
      <c r="B1001" s="3" t="s">
        <v>396</v>
      </c>
      <c r="C1001" s="3" t="s">
        <v>823</v>
      </c>
      <c r="D1001" s="3" t="s">
        <v>17</v>
      </c>
      <c r="E1001" s="3" t="s">
        <v>824</v>
      </c>
      <c r="F1001" s="3" t="s">
        <v>19</v>
      </c>
      <c r="G1001" s="4">
        <v>0</v>
      </c>
      <c r="H1001" s="4">
        <v>1231878</v>
      </c>
      <c r="I1001" s="3" t="s">
        <v>36</v>
      </c>
      <c r="J1001" s="4">
        <v>4</v>
      </c>
      <c r="K1001" s="3" t="s">
        <v>21</v>
      </c>
      <c r="L1001" s="4">
        <v>790000</v>
      </c>
      <c r="M1001" s="1">
        <f>O1001*J1001*K1001</f>
        <v>0</v>
      </c>
      <c r="N1001" s="3"/>
      <c r="O1001" s="2">
        <f>L1001/J1001*(1-K1001)</f>
        <v>197500</v>
      </c>
    </row>
    <row r="1002" ht="14.25">
      <c r="A1002" s="3" t="s">
        <v>396</v>
      </c>
      <c r="B1002" s="3" t="s">
        <v>396</v>
      </c>
      <c r="C1002" s="3" t="s">
        <v>823</v>
      </c>
      <c r="D1002" s="3" t="s">
        <v>17</v>
      </c>
      <c r="E1002" s="3" t="s">
        <v>824</v>
      </c>
      <c r="F1002" s="3" t="s">
        <v>19</v>
      </c>
      <c r="G1002" s="4">
        <v>0</v>
      </c>
      <c r="H1002" s="4">
        <v>1231878</v>
      </c>
      <c r="I1002" s="3" t="s">
        <v>177</v>
      </c>
      <c r="J1002" s="4">
        <v>6</v>
      </c>
      <c r="K1002" s="3" t="s">
        <v>21</v>
      </c>
      <c r="L1002" s="4">
        <v>288600</v>
      </c>
      <c r="M1002" s="1">
        <f>O1002*J1002*K1002</f>
        <v>0</v>
      </c>
      <c r="N1002" s="3"/>
      <c r="O1002" s="2">
        <f>L1002/J1002*(1-K1002)</f>
        <v>48100</v>
      </c>
    </row>
    <row r="1003" ht="14.25">
      <c r="A1003" s="3" t="s">
        <v>396</v>
      </c>
      <c r="B1003" s="3" t="s">
        <v>396</v>
      </c>
      <c r="C1003" s="3" t="s">
        <v>823</v>
      </c>
      <c r="D1003" s="3" t="s">
        <v>17</v>
      </c>
      <c r="E1003" s="3" t="s">
        <v>824</v>
      </c>
      <c r="F1003" s="3" t="s">
        <v>19</v>
      </c>
      <c r="G1003" s="4">
        <v>0</v>
      </c>
      <c r="H1003" s="4">
        <v>1231878</v>
      </c>
      <c r="I1003" s="3" t="s">
        <v>448</v>
      </c>
      <c r="J1003" s="4">
        <v>6</v>
      </c>
      <c r="K1003" s="3" t="s">
        <v>21</v>
      </c>
      <c r="L1003" s="4">
        <v>246000</v>
      </c>
      <c r="M1003" s="1">
        <f>O1003*J1003*K1003</f>
        <v>0</v>
      </c>
      <c r="N1003" s="3"/>
      <c r="O1003" s="2">
        <f>L1003/J1003*(1-K1003)</f>
        <v>41000</v>
      </c>
    </row>
    <row r="1004" ht="14.25">
      <c r="A1004" s="3" t="s">
        <v>396</v>
      </c>
      <c r="B1004" s="3" t="s">
        <v>396</v>
      </c>
      <c r="C1004" s="3" t="s">
        <v>825</v>
      </c>
      <c r="D1004" s="3" t="s">
        <v>17</v>
      </c>
      <c r="E1004" s="3" t="s">
        <v>826</v>
      </c>
      <c r="F1004" s="3" t="s">
        <v>19</v>
      </c>
      <c r="G1004" s="4">
        <v>0</v>
      </c>
      <c r="H1004" s="4">
        <v>2050000</v>
      </c>
      <c r="I1004" s="3" t="s">
        <v>102</v>
      </c>
      <c r="J1004" s="4">
        <v>1</v>
      </c>
      <c r="K1004" s="3" t="s">
        <v>21</v>
      </c>
      <c r="L1004" s="4">
        <v>2050000</v>
      </c>
      <c r="M1004" s="1">
        <f>O1004*J1004*K1004</f>
        <v>0</v>
      </c>
      <c r="N1004" s="3"/>
      <c r="O1004" s="2">
        <f>L1004/J1004*(1-K1004)</f>
        <v>2050000</v>
      </c>
    </row>
    <row r="1005" ht="14.25">
      <c r="A1005" s="3" t="s">
        <v>396</v>
      </c>
      <c r="B1005" s="3" t="s">
        <v>396</v>
      </c>
      <c r="C1005" s="3" t="s">
        <v>827</v>
      </c>
      <c r="D1005" s="3" t="s">
        <v>17</v>
      </c>
      <c r="E1005" s="3" t="s">
        <v>828</v>
      </c>
      <c r="F1005" s="3" t="s">
        <v>19</v>
      </c>
      <c r="G1005" s="4">
        <v>0</v>
      </c>
      <c r="H1005" s="4">
        <v>7600000</v>
      </c>
      <c r="I1005" s="3" t="s">
        <v>35</v>
      </c>
      <c r="J1005" s="4">
        <v>2</v>
      </c>
      <c r="K1005" s="3" t="s">
        <v>21</v>
      </c>
      <c r="L1005" s="4">
        <v>7600000</v>
      </c>
      <c r="M1005" s="1">
        <f>O1005*J1005*K1005</f>
        <v>0</v>
      </c>
      <c r="N1005" s="3"/>
      <c r="O1005" s="2">
        <f>L1005/J1005*(1-K1005)</f>
        <v>3800000</v>
      </c>
    </row>
    <row r="1006" ht="14.25">
      <c r="A1006" s="3" t="s">
        <v>396</v>
      </c>
      <c r="B1006" s="3" t="s">
        <v>396</v>
      </c>
      <c r="C1006" s="3" t="s">
        <v>829</v>
      </c>
      <c r="D1006" s="3" t="s">
        <v>17</v>
      </c>
      <c r="E1006" s="3" t="s">
        <v>559</v>
      </c>
      <c r="F1006" s="3" t="s">
        <v>19</v>
      </c>
      <c r="G1006" s="4">
        <v>0</v>
      </c>
      <c r="H1006" s="4">
        <v>12600000</v>
      </c>
      <c r="I1006" s="3" t="s">
        <v>172</v>
      </c>
      <c r="J1006" s="4">
        <v>3</v>
      </c>
      <c r="K1006" s="3" t="s">
        <v>21</v>
      </c>
      <c r="L1006" s="4">
        <v>1890000</v>
      </c>
      <c r="M1006" s="1">
        <f>O1006*J1006*K1006</f>
        <v>0</v>
      </c>
      <c r="N1006" s="3"/>
      <c r="O1006" s="2">
        <f>L1006/J1006*(1-K1006)</f>
        <v>630000</v>
      </c>
    </row>
    <row r="1007" ht="14.25">
      <c r="A1007" s="3" t="s">
        <v>396</v>
      </c>
      <c r="B1007" s="3" t="s">
        <v>396</v>
      </c>
      <c r="C1007" s="3" t="s">
        <v>829</v>
      </c>
      <c r="D1007" s="3" t="s">
        <v>17</v>
      </c>
      <c r="E1007" s="3" t="s">
        <v>559</v>
      </c>
      <c r="F1007" s="3" t="s">
        <v>19</v>
      </c>
      <c r="G1007" s="4">
        <v>0</v>
      </c>
      <c r="H1007" s="4">
        <v>12600000</v>
      </c>
      <c r="I1007" s="3" t="s">
        <v>79</v>
      </c>
      <c r="J1007" s="4">
        <v>2</v>
      </c>
      <c r="K1007" s="3" t="s">
        <v>21</v>
      </c>
      <c r="L1007" s="4">
        <v>1260000</v>
      </c>
      <c r="M1007" s="1">
        <f>O1007*J1007*K1007</f>
        <v>0</v>
      </c>
      <c r="N1007" s="3"/>
      <c r="O1007" s="2">
        <f>L1007/J1007*(1-K1007)</f>
        <v>630000</v>
      </c>
    </row>
    <row r="1008" ht="14.25">
      <c r="A1008" s="3" t="s">
        <v>396</v>
      </c>
      <c r="B1008" s="3" t="s">
        <v>396</v>
      </c>
      <c r="C1008" s="3" t="s">
        <v>829</v>
      </c>
      <c r="D1008" s="3" t="s">
        <v>17</v>
      </c>
      <c r="E1008" s="3" t="s">
        <v>559</v>
      </c>
      <c r="F1008" s="3" t="s">
        <v>19</v>
      </c>
      <c r="G1008" s="4">
        <v>0</v>
      </c>
      <c r="H1008" s="4">
        <v>12600000</v>
      </c>
      <c r="I1008" s="3" t="s">
        <v>147</v>
      </c>
      <c r="J1008" s="4">
        <v>7</v>
      </c>
      <c r="K1008" s="3" t="s">
        <v>21</v>
      </c>
      <c r="L1008" s="4">
        <v>4410000</v>
      </c>
      <c r="M1008" s="1">
        <f>O1008*J1008*K1008</f>
        <v>0</v>
      </c>
      <c r="N1008" s="3"/>
      <c r="O1008" s="2">
        <f>L1008/J1008*(1-K1008)</f>
        <v>630000</v>
      </c>
    </row>
    <row r="1009" ht="14.25">
      <c r="A1009" s="3" t="s">
        <v>396</v>
      </c>
      <c r="B1009" s="3" t="s">
        <v>396</v>
      </c>
      <c r="C1009" s="3" t="s">
        <v>829</v>
      </c>
      <c r="D1009" s="3" t="s">
        <v>17</v>
      </c>
      <c r="E1009" s="3" t="s">
        <v>559</v>
      </c>
      <c r="F1009" s="3" t="s">
        <v>19</v>
      </c>
      <c r="G1009" s="4">
        <v>0</v>
      </c>
      <c r="H1009" s="4">
        <v>12600000</v>
      </c>
      <c r="I1009" s="3" t="s">
        <v>89</v>
      </c>
      <c r="J1009" s="4">
        <v>8</v>
      </c>
      <c r="K1009" s="3" t="s">
        <v>21</v>
      </c>
      <c r="L1009" s="4">
        <v>5040000</v>
      </c>
      <c r="M1009" s="1">
        <f>O1009*J1009*K1009</f>
        <v>0</v>
      </c>
      <c r="N1009" s="3"/>
      <c r="O1009" s="2">
        <f>L1009/J1009*(1-K1009)</f>
        <v>630000</v>
      </c>
    </row>
    <row r="1010" ht="14.25">
      <c r="A1010" s="3" t="s">
        <v>396</v>
      </c>
      <c r="B1010" s="3" t="s">
        <v>396</v>
      </c>
      <c r="C1010" s="3" t="s">
        <v>830</v>
      </c>
      <c r="D1010" s="3" t="s">
        <v>17</v>
      </c>
      <c r="E1010" s="3" t="s">
        <v>312</v>
      </c>
      <c r="F1010" s="3" t="s">
        <v>19</v>
      </c>
      <c r="G1010" s="4">
        <v>0</v>
      </c>
      <c r="H1010" s="4">
        <v>51400000</v>
      </c>
      <c r="I1010" s="3" t="s">
        <v>103</v>
      </c>
      <c r="J1010" s="4">
        <v>4</v>
      </c>
      <c r="K1010" s="3" t="s">
        <v>21</v>
      </c>
      <c r="L1010" s="4">
        <v>8000000</v>
      </c>
      <c r="M1010" s="1">
        <f>O1010*J1010*K1010</f>
        <v>0</v>
      </c>
      <c r="N1010" s="3"/>
      <c r="O1010" s="2">
        <f>L1010/J1010*(1-K1010)</f>
        <v>2000000</v>
      </c>
    </row>
    <row r="1011" ht="14.25">
      <c r="A1011" s="3" t="s">
        <v>396</v>
      </c>
      <c r="B1011" s="3" t="s">
        <v>396</v>
      </c>
      <c r="C1011" s="3" t="s">
        <v>830</v>
      </c>
      <c r="D1011" s="3" t="s">
        <v>17</v>
      </c>
      <c r="E1011" s="3" t="s">
        <v>312</v>
      </c>
      <c r="F1011" s="3" t="s">
        <v>19</v>
      </c>
      <c r="G1011" s="4">
        <v>0</v>
      </c>
      <c r="H1011" s="4">
        <v>51400000</v>
      </c>
      <c r="I1011" s="3" t="s">
        <v>101</v>
      </c>
      <c r="J1011" s="4">
        <v>8</v>
      </c>
      <c r="K1011" s="3" t="s">
        <v>21</v>
      </c>
      <c r="L1011" s="4">
        <v>16000000</v>
      </c>
      <c r="M1011" s="1">
        <f>O1011*J1011*K1011</f>
        <v>0</v>
      </c>
      <c r="N1011" s="3"/>
      <c r="O1011" s="2">
        <f>L1011/J1011*(1-K1011)</f>
        <v>2000000</v>
      </c>
    </row>
    <row r="1012" ht="14.25">
      <c r="A1012" s="3" t="s">
        <v>396</v>
      </c>
      <c r="B1012" s="3" t="s">
        <v>396</v>
      </c>
      <c r="C1012" s="3" t="s">
        <v>830</v>
      </c>
      <c r="D1012" s="3" t="s">
        <v>17</v>
      </c>
      <c r="E1012" s="3" t="s">
        <v>312</v>
      </c>
      <c r="F1012" s="3" t="s">
        <v>19</v>
      </c>
      <c r="G1012" s="4">
        <v>0</v>
      </c>
      <c r="H1012" s="4">
        <v>51400000</v>
      </c>
      <c r="I1012" s="3" t="s">
        <v>102</v>
      </c>
      <c r="J1012" s="4">
        <v>8</v>
      </c>
      <c r="K1012" s="3" t="s">
        <v>21</v>
      </c>
      <c r="L1012" s="4">
        <v>16000000</v>
      </c>
      <c r="M1012" s="1">
        <f>O1012*J1012*K1012</f>
        <v>0</v>
      </c>
      <c r="N1012" s="3"/>
      <c r="O1012" s="2">
        <f>L1012/J1012*(1-K1012)</f>
        <v>2000000</v>
      </c>
    </row>
    <row r="1013" ht="14.25">
      <c r="A1013" s="3" t="s">
        <v>396</v>
      </c>
      <c r="B1013" s="3" t="s">
        <v>396</v>
      </c>
      <c r="C1013" s="3" t="s">
        <v>830</v>
      </c>
      <c r="D1013" s="3" t="s">
        <v>17</v>
      </c>
      <c r="E1013" s="3" t="s">
        <v>312</v>
      </c>
      <c r="F1013" s="3" t="s">
        <v>19</v>
      </c>
      <c r="G1013" s="4">
        <v>0</v>
      </c>
      <c r="H1013" s="4">
        <v>51400000</v>
      </c>
      <c r="I1013" s="3" t="s">
        <v>831</v>
      </c>
      <c r="J1013" s="4">
        <v>20</v>
      </c>
      <c r="K1013" s="3" t="s">
        <v>21</v>
      </c>
      <c r="L1013" s="4">
        <v>7000000</v>
      </c>
      <c r="M1013" s="1">
        <f>O1013*J1013*K1013</f>
        <v>0</v>
      </c>
      <c r="N1013" s="3"/>
      <c r="O1013" s="2">
        <f>L1013/J1013*(1-K1013)</f>
        <v>350000</v>
      </c>
    </row>
    <row r="1014" ht="14.25">
      <c r="A1014" s="3" t="s">
        <v>396</v>
      </c>
      <c r="B1014" s="3" t="s">
        <v>396</v>
      </c>
      <c r="C1014" s="3" t="s">
        <v>830</v>
      </c>
      <c r="D1014" s="3" t="s">
        <v>17</v>
      </c>
      <c r="E1014" s="3" t="s">
        <v>312</v>
      </c>
      <c r="F1014" s="3" t="s">
        <v>19</v>
      </c>
      <c r="G1014" s="4">
        <v>0</v>
      </c>
      <c r="H1014" s="4">
        <v>51400000</v>
      </c>
      <c r="I1014" s="3" t="s">
        <v>121</v>
      </c>
      <c r="J1014" s="4">
        <v>1</v>
      </c>
      <c r="K1014" s="3" t="s">
        <v>21</v>
      </c>
      <c r="L1014" s="4">
        <v>3500000</v>
      </c>
      <c r="M1014" s="1">
        <f>O1014*J1014*K1014</f>
        <v>0</v>
      </c>
      <c r="N1014" s="3"/>
      <c r="O1014" s="2">
        <f>L1014/J1014*(1-K1014)</f>
        <v>3500000</v>
      </c>
    </row>
    <row r="1015" ht="14.25">
      <c r="A1015" s="3" t="s">
        <v>396</v>
      </c>
      <c r="B1015" s="3" t="s">
        <v>396</v>
      </c>
      <c r="C1015" s="3" t="s">
        <v>830</v>
      </c>
      <c r="D1015" s="3" t="s">
        <v>17</v>
      </c>
      <c r="E1015" s="3" t="s">
        <v>312</v>
      </c>
      <c r="F1015" s="3" t="s">
        <v>19</v>
      </c>
      <c r="G1015" s="4">
        <v>0</v>
      </c>
      <c r="H1015" s="4">
        <v>51400000</v>
      </c>
      <c r="I1015" s="3" t="s">
        <v>832</v>
      </c>
      <c r="J1015" s="4">
        <v>2</v>
      </c>
      <c r="K1015" s="3" t="s">
        <v>21</v>
      </c>
      <c r="L1015" s="4">
        <v>900000</v>
      </c>
      <c r="M1015" s="1">
        <f>O1015*J1015*K1015</f>
        <v>0</v>
      </c>
      <c r="N1015" s="3"/>
      <c r="O1015" s="2">
        <f>L1015/J1015*(1-K1015)</f>
        <v>450000</v>
      </c>
    </row>
    <row r="1016" ht="14.25">
      <c r="A1016" s="3" t="s">
        <v>396</v>
      </c>
      <c r="B1016" s="3" t="s">
        <v>396</v>
      </c>
      <c r="C1016" s="3" t="s">
        <v>830</v>
      </c>
      <c r="D1016" s="3" t="s">
        <v>17</v>
      </c>
      <c r="E1016" s="3" t="s">
        <v>312</v>
      </c>
      <c r="F1016" s="3" t="s">
        <v>19</v>
      </c>
      <c r="G1016" s="4">
        <v>0</v>
      </c>
      <c r="H1016" s="4">
        <v>51400000</v>
      </c>
      <c r="I1016" s="3" t="s">
        <v>822</v>
      </c>
      <c r="J1016" s="4">
        <v>5</v>
      </c>
      <c r="K1016" s="3" t="s">
        <v>21</v>
      </c>
      <c r="L1016" s="4">
        <v>0</v>
      </c>
      <c r="M1016" s="1">
        <f>O1016*J1016*K1016</f>
        <v>0</v>
      </c>
      <c r="N1016" s="3"/>
      <c r="O1016" s="2">
        <f>L1016/J1016*(1-K1016)</f>
        <v>0</v>
      </c>
    </row>
    <row r="1017" ht="14.25">
      <c r="A1017" s="3" t="s">
        <v>396</v>
      </c>
      <c r="B1017" s="3" t="s">
        <v>396</v>
      </c>
      <c r="C1017" s="3" t="s">
        <v>833</v>
      </c>
      <c r="D1017" s="3" t="s">
        <v>17</v>
      </c>
      <c r="E1017" s="3" t="s">
        <v>782</v>
      </c>
      <c r="F1017" s="3" t="s">
        <v>19</v>
      </c>
      <c r="G1017" s="4">
        <v>0</v>
      </c>
      <c r="H1017" s="4">
        <v>0</v>
      </c>
      <c r="I1017" s="3" t="s">
        <v>121</v>
      </c>
      <c r="J1017" s="4">
        <v>2</v>
      </c>
      <c r="K1017" s="3" t="s">
        <v>21</v>
      </c>
      <c r="L1017" s="4">
        <v>0</v>
      </c>
      <c r="M1017" s="1">
        <f>O1017*J1017*K1017</f>
        <v>0</v>
      </c>
      <c r="N1017" s="3"/>
      <c r="O1017" s="2">
        <f>L1017/J1017*(1-K1017)</f>
        <v>0</v>
      </c>
    </row>
    <row r="1018" ht="14.25">
      <c r="A1018" s="3" t="s">
        <v>411</v>
      </c>
      <c r="B1018" s="3" t="s">
        <v>834</v>
      </c>
      <c r="C1018" s="3" t="s">
        <v>835</v>
      </c>
      <c r="D1018" s="3" t="s">
        <v>17</v>
      </c>
      <c r="E1018" s="3" t="s">
        <v>277</v>
      </c>
      <c r="F1018" s="3" t="s">
        <v>19</v>
      </c>
      <c r="G1018" s="4">
        <v>0</v>
      </c>
      <c r="H1018" s="4">
        <v>10340714</v>
      </c>
      <c r="I1018" s="3" t="s">
        <v>126</v>
      </c>
      <c r="J1018" s="4">
        <v>8</v>
      </c>
      <c r="K1018" s="3" t="s">
        <v>21</v>
      </c>
      <c r="L1018" s="4">
        <v>1991672</v>
      </c>
      <c r="M1018" s="1">
        <f>O1018*J1018*K1018</f>
        <v>0</v>
      </c>
      <c r="N1018" s="3"/>
      <c r="O1018" s="2">
        <f>L1018/J1018*(1-K1018)</f>
        <v>248959</v>
      </c>
    </row>
    <row r="1019" ht="14.25">
      <c r="A1019" s="3" t="s">
        <v>411</v>
      </c>
      <c r="B1019" s="3" t="s">
        <v>834</v>
      </c>
      <c r="C1019" s="3" t="s">
        <v>835</v>
      </c>
      <c r="D1019" s="3" t="s">
        <v>17</v>
      </c>
      <c r="E1019" s="3" t="s">
        <v>277</v>
      </c>
      <c r="F1019" s="3" t="s">
        <v>19</v>
      </c>
      <c r="G1019" s="4">
        <v>0</v>
      </c>
      <c r="H1019" s="4">
        <v>10340714</v>
      </c>
      <c r="I1019" s="3" t="s">
        <v>223</v>
      </c>
      <c r="J1019" s="4">
        <v>12</v>
      </c>
      <c r="K1019" s="3" t="s">
        <v>21</v>
      </c>
      <c r="L1019" s="4">
        <v>756000</v>
      </c>
      <c r="M1019" s="1">
        <f>O1019*J1019*K1019</f>
        <v>0</v>
      </c>
      <c r="N1019" s="3"/>
      <c r="O1019" s="2">
        <f>L1019/J1019*(1-K1019)</f>
        <v>63000</v>
      </c>
    </row>
    <row r="1020" ht="14.25">
      <c r="A1020" s="3" t="s">
        <v>411</v>
      </c>
      <c r="B1020" s="3" t="s">
        <v>834</v>
      </c>
      <c r="C1020" s="3" t="s">
        <v>835</v>
      </c>
      <c r="D1020" s="3" t="s">
        <v>17</v>
      </c>
      <c r="E1020" s="3" t="s">
        <v>277</v>
      </c>
      <c r="F1020" s="3" t="s">
        <v>19</v>
      </c>
      <c r="G1020" s="4">
        <v>0</v>
      </c>
      <c r="H1020" s="4">
        <v>10340714</v>
      </c>
      <c r="I1020" s="3" t="s">
        <v>188</v>
      </c>
      <c r="J1020" s="4">
        <v>12</v>
      </c>
      <c r="K1020" s="3" t="s">
        <v>21</v>
      </c>
      <c r="L1020" s="4">
        <v>3049200</v>
      </c>
      <c r="M1020" s="1">
        <f>O1020*J1020*K1020</f>
        <v>0</v>
      </c>
      <c r="N1020" s="3"/>
      <c r="O1020" s="2">
        <f>L1020/J1020*(1-K1020)</f>
        <v>254100</v>
      </c>
    </row>
    <row r="1021" ht="14.25">
      <c r="A1021" s="3" t="s">
        <v>411</v>
      </c>
      <c r="B1021" s="3" t="s">
        <v>834</v>
      </c>
      <c r="C1021" s="3" t="s">
        <v>835</v>
      </c>
      <c r="D1021" s="3" t="s">
        <v>17</v>
      </c>
      <c r="E1021" s="3" t="s">
        <v>277</v>
      </c>
      <c r="F1021" s="3" t="s">
        <v>19</v>
      </c>
      <c r="G1021" s="4">
        <v>0</v>
      </c>
      <c r="H1021" s="4">
        <v>10340714</v>
      </c>
      <c r="I1021" s="3" t="s">
        <v>261</v>
      </c>
      <c r="J1021" s="4">
        <v>24</v>
      </c>
      <c r="K1021" s="3" t="s">
        <v>21</v>
      </c>
      <c r="L1021" s="4">
        <v>1623288</v>
      </c>
      <c r="M1021" s="1">
        <f>O1021*J1021*K1021</f>
        <v>0</v>
      </c>
      <c r="N1021" s="3"/>
      <c r="O1021" s="2">
        <f>L1021/J1021*(1-K1021)</f>
        <v>67637</v>
      </c>
    </row>
    <row r="1022" ht="14.25">
      <c r="A1022" s="3" t="s">
        <v>411</v>
      </c>
      <c r="B1022" s="3" t="s">
        <v>834</v>
      </c>
      <c r="C1022" s="3" t="s">
        <v>835</v>
      </c>
      <c r="D1022" s="3" t="s">
        <v>17</v>
      </c>
      <c r="E1022" s="3" t="s">
        <v>277</v>
      </c>
      <c r="F1022" s="3" t="s">
        <v>19</v>
      </c>
      <c r="G1022" s="4">
        <v>0</v>
      </c>
      <c r="H1022" s="4">
        <v>10340714</v>
      </c>
      <c r="I1022" s="3" t="s">
        <v>795</v>
      </c>
      <c r="J1022" s="4">
        <v>9</v>
      </c>
      <c r="K1022" s="3" t="s">
        <v>21</v>
      </c>
      <c r="L1022" s="4">
        <v>2284254</v>
      </c>
      <c r="M1022" s="1">
        <f>O1022*J1022*K1022</f>
        <v>0</v>
      </c>
      <c r="N1022" s="3"/>
      <c r="O1022" s="2">
        <f>L1022/J1022*(1-K1022)</f>
        <v>253806</v>
      </c>
    </row>
    <row r="1023" ht="14.25">
      <c r="A1023" s="3" t="s">
        <v>411</v>
      </c>
      <c r="B1023" s="3" t="s">
        <v>834</v>
      </c>
      <c r="C1023" s="3" t="s">
        <v>835</v>
      </c>
      <c r="D1023" s="3" t="s">
        <v>17</v>
      </c>
      <c r="E1023" s="3" t="s">
        <v>277</v>
      </c>
      <c r="F1023" s="3" t="s">
        <v>19</v>
      </c>
      <c r="G1023" s="4">
        <v>0</v>
      </c>
      <c r="H1023" s="4">
        <v>10340714</v>
      </c>
      <c r="I1023" s="3" t="s">
        <v>482</v>
      </c>
      <c r="J1023" s="4">
        <v>12</v>
      </c>
      <c r="K1023" s="3" t="s">
        <v>21</v>
      </c>
      <c r="L1023" s="4">
        <v>636300</v>
      </c>
      <c r="M1023" s="1">
        <f>O1023*J1023*K1023</f>
        <v>0</v>
      </c>
      <c r="N1023" s="3"/>
      <c r="O1023" s="2">
        <f>L1023/J1023*(1-K1023)</f>
        <v>53025</v>
      </c>
    </row>
    <row r="1024" ht="14.25">
      <c r="A1024" s="3" t="s">
        <v>411</v>
      </c>
      <c r="B1024" s="3" t="s">
        <v>411</v>
      </c>
      <c r="C1024" s="3" t="s">
        <v>836</v>
      </c>
      <c r="D1024" s="3" t="s">
        <v>17</v>
      </c>
      <c r="E1024" s="3" t="s">
        <v>837</v>
      </c>
      <c r="F1024" s="3" t="s">
        <v>19</v>
      </c>
      <c r="G1024" s="4">
        <v>0</v>
      </c>
      <c r="H1024" s="4">
        <v>3500000</v>
      </c>
      <c r="I1024" s="3" t="s">
        <v>121</v>
      </c>
      <c r="J1024" s="4">
        <v>1</v>
      </c>
      <c r="K1024" s="3" t="s">
        <v>21</v>
      </c>
      <c r="L1024" s="4">
        <v>3500000</v>
      </c>
      <c r="M1024" s="1">
        <f>O1024*J1024*K1024</f>
        <v>0</v>
      </c>
      <c r="N1024" s="3"/>
      <c r="O1024" s="2">
        <f>L1024/J1024*(1-K1024)</f>
        <v>3500000</v>
      </c>
    </row>
    <row r="1025" ht="14.25">
      <c r="A1025" s="3" t="s">
        <v>411</v>
      </c>
      <c r="B1025" s="3" t="s">
        <v>411</v>
      </c>
      <c r="C1025" s="3" t="s">
        <v>838</v>
      </c>
      <c r="D1025" s="3" t="s">
        <v>17</v>
      </c>
      <c r="E1025" s="3" t="s">
        <v>78</v>
      </c>
      <c r="F1025" s="3" t="s">
        <v>19</v>
      </c>
      <c r="G1025" s="4">
        <v>0</v>
      </c>
      <c r="H1025" s="4">
        <v>6800000</v>
      </c>
      <c r="I1025" s="3" t="s">
        <v>79</v>
      </c>
      <c r="J1025" s="4">
        <v>10</v>
      </c>
      <c r="K1025" s="3" t="s">
        <v>21</v>
      </c>
      <c r="L1025" s="4">
        <v>6800000</v>
      </c>
      <c r="M1025" s="1">
        <f>O1025*J1025*K1025</f>
        <v>0</v>
      </c>
      <c r="N1025" s="3"/>
      <c r="O1025" s="2">
        <f>L1025/J1025*(1-K1025)</f>
        <v>680000</v>
      </c>
    </row>
    <row r="1026" ht="14.25">
      <c r="A1026" s="3" t="s">
        <v>411</v>
      </c>
      <c r="B1026" s="3" t="s">
        <v>411</v>
      </c>
      <c r="C1026" s="3" t="s">
        <v>839</v>
      </c>
      <c r="D1026" s="3" t="s">
        <v>17</v>
      </c>
      <c r="E1026" s="3" t="s">
        <v>840</v>
      </c>
      <c r="F1026" s="3" t="s">
        <v>19</v>
      </c>
      <c r="G1026" s="4">
        <v>0</v>
      </c>
      <c r="H1026" s="4">
        <v>4700000</v>
      </c>
      <c r="I1026" s="3" t="s">
        <v>29</v>
      </c>
      <c r="J1026" s="4">
        <v>10</v>
      </c>
      <c r="K1026" s="3" t="s">
        <v>21</v>
      </c>
      <c r="L1026" s="4">
        <v>4700000</v>
      </c>
      <c r="M1026" s="1">
        <f>O1026*J1026*K1026</f>
        <v>0</v>
      </c>
      <c r="N1026" s="3"/>
      <c r="O1026" s="2">
        <f>L1026/J1026*(1-K1026)</f>
        <v>470000</v>
      </c>
    </row>
    <row r="1027" ht="14.25">
      <c r="A1027" s="3" t="s">
        <v>411</v>
      </c>
      <c r="B1027" s="3" t="s">
        <v>834</v>
      </c>
      <c r="C1027" s="3" t="s">
        <v>841</v>
      </c>
      <c r="D1027" s="3" t="s">
        <v>17</v>
      </c>
      <c r="E1027" s="3" t="s">
        <v>842</v>
      </c>
      <c r="F1027" s="3" t="s">
        <v>19</v>
      </c>
      <c r="G1027" s="4">
        <v>0</v>
      </c>
      <c r="H1027" s="4">
        <v>3000000</v>
      </c>
      <c r="I1027" s="3" t="s">
        <v>108</v>
      </c>
      <c r="J1027" s="4">
        <v>120</v>
      </c>
      <c r="K1027" s="3" t="s">
        <v>21</v>
      </c>
      <c r="L1027" s="4">
        <v>3000000</v>
      </c>
      <c r="M1027" s="1">
        <f>O1027*J1027*K1027</f>
        <v>0</v>
      </c>
      <c r="N1027" s="3"/>
      <c r="O1027" s="2">
        <f>L1027/J1027*(1-K1027)</f>
        <v>25000</v>
      </c>
    </row>
    <row r="1028" ht="14.25">
      <c r="A1028" s="3" t="s">
        <v>411</v>
      </c>
      <c r="B1028" s="3" t="s">
        <v>522</v>
      </c>
      <c r="C1028" s="3" t="s">
        <v>843</v>
      </c>
      <c r="D1028" s="3" t="s">
        <v>17</v>
      </c>
      <c r="E1028" s="3" t="s">
        <v>34</v>
      </c>
      <c r="F1028" s="3" t="s">
        <v>19</v>
      </c>
      <c r="G1028" s="4">
        <v>0</v>
      </c>
      <c r="H1028" s="4">
        <v>22868000</v>
      </c>
      <c r="I1028" s="3" t="s">
        <v>120</v>
      </c>
      <c r="J1028" s="4">
        <v>5</v>
      </c>
      <c r="K1028" s="3" t="s">
        <v>21</v>
      </c>
      <c r="L1028" s="4">
        <v>1100000</v>
      </c>
      <c r="M1028" s="1">
        <f>O1028*J1028*K1028</f>
        <v>0</v>
      </c>
      <c r="N1028" s="3"/>
      <c r="O1028" s="2">
        <f>L1028/J1028*(1-K1028)</f>
        <v>220000</v>
      </c>
    </row>
    <row r="1029" ht="14.25">
      <c r="A1029" s="3" t="s">
        <v>411</v>
      </c>
      <c r="B1029" s="3" t="s">
        <v>522</v>
      </c>
      <c r="C1029" s="3" t="s">
        <v>843</v>
      </c>
      <c r="D1029" s="3" t="s">
        <v>17</v>
      </c>
      <c r="E1029" s="3" t="s">
        <v>34</v>
      </c>
      <c r="F1029" s="3" t="s">
        <v>19</v>
      </c>
      <c r="G1029" s="4">
        <v>0</v>
      </c>
      <c r="H1029" s="4">
        <v>22868000</v>
      </c>
      <c r="I1029" s="3" t="s">
        <v>844</v>
      </c>
      <c r="J1029" s="4">
        <v>2</v>
      </c>
      <c r="K1029" s="3" t="s">
        <v>21</v>
      </c>
      <c r="L1029" s="4">
        <v>1240000</v>
      </c>
      <c r="M1029" s="1">
        <f>O1029*J1029*K1029</f>
        <v>0</v>
      </c>
      <c r="N1029" s="3"/>
      <c r="O1029" s="2">
        <f>L1029/J1029*(1-K1029)</f>
        <v>620000</v>
      </c>
    </row>
    <row r="1030" ht="14.25">
      <c r="A1030" s="3" t="s">
        <v>411</v>
      </c>
      <c r="B1030" s="3" t="s">
        <v>522</v>
      </c>
      <c r="C1030" s="3" t="s">
        <v>843</v>
      </c>
      <c r="D1030" s="3" t="s">
        <v>17</v>
      </c>
      <c r="E1030" s="3" t="s">
        <v>34</v>
      </c>
      <c r="F1030" s="3" t="s">
        <v>19</v>
      </c>
      <c r="G1030" s="4">
        <v>0</v>
      </c>
      <c r="H1030" s="4">
        <v>22868000</v>
      </c>
      <c r="I1030" s="3" t="s">
        <v>57</v>
      </c>
      <c r="J1030" s="4">
        <v>24</v>
      </c>
      <c r="K1030" s="3" t="s">
        <v>21</v>
      </c>
      <c r="L1030" s="4">
        <v>528000</v>
      </c>
      <c r="M1030" s="1">
        <f>O1030*J1030*K1030</f>
        <v>0</v>
      </c>
      <c r="N1030" s="3"/>
      <c r="O1030" s="2">
        <f>L1030/J1030*(1-K1030)</f>
        <v>22000</v>
      </c>
    </row>
    <row r="1031" ht="14.25">
      <c r="A1031" s="3" t="s">
        <v>411</v>
      </c>
      <c r="B1031" s="3" t="s">
        <v>522</v>
      </c>
      <c r="C1031" s="3" t="s">
        <v>843</v>
      </c>
      <c r="D1031" s="3" t="s">
        <v>17</v>
      </c>
      <c r="E1031" s="3" t="s">
        <v>34</v>
      </c>
      <c r="F1031" s="3" t="s">
        <v>19</v>
      </c>
      <c r="G1031" s="4">
        <v>0</v>
      </c>
      <c r="H1031" s="4">
        <v>22868000</v>
      </c>
      <c r="I1031" s="3" t="s">
        <v>497</v>
      </c>
      <c r="J1031" s="4">
        <v>2</v>
      </c>
      <c r="K1031" s="3" t="s">
        <v>21</v>
      </c>
      <c r="L1031" s="4">
        <v>7700000</v>
      </c>
      <c r="M1031" s="1">
        <f>O1031*J1031*K1031</f>
        <v>0</v>
      </c>
      <c r="N1031" s="3"/>
      <c r="O1031" s="2">
        <f>L1031/J1031*(1-K1031)</f>
        <v>3850000</v>
      </c>
    </row>
    <row r="1032" ht="14.25">
      <c r="A1032" s="3" t="s">
        <v>411</v>
      </c>
      <c r="B1032" s="3" t="s">
        <v>522</v>
      </c>
      <c r="C1032" s="3" t="s">
        <v>843</v>
      </c>
      <c r="D1032" s="3" t="s">
        <v>17</v>
      </c>
      <c r="E1032" s="3" t="s">
        <v>34</v>
      </c>
      <c r="F1032" s="3" t="s">
        <v>19</v>
      </c>
      <c r="G1032" s="4">
        <v>0</v>
      </c>
      <c r="H1032" s="4">
        <v>22868000</v>
      </c>
      <c r="I1032" s="3" t="s">
        <v>39</v>
      </c>
      <c r="J1032" s="4">
        <v>1</v>
      </c>
      <c r="K1032" s="3" t="s">
        <v>21</v>
      </c>
      <c r="L1032" s="4">
        <v>3300000</v>
      </c>
      <c r="M1032" s="1">
        <f>O1032*J1032*K1032</f>
        <v>0</v>
      </c>
      <c r="N1032" s="3"/>
      <c r="O1032" s="2">
        <f>L1032/J1032*(1-K1032)</f>
        <v>3300000</v>
      </c>
    </row>
    <row r="1033" ht="14.25">
      <c r="A1033" s="3" t="s">
        <v>411</v>
      </c>
      <c r="B1033" s="3" t="s">
        <v>522</v>
      </c>
      <c r="C1033" s="3" t="s">
        <v>843</v>
      </c>
      <c r="D1033" s="3" t="s">
        <v>17</v>
      </c>
      <c r="E1033" s="3" t="s">
        <v>34</v>
      </c>
      <c r="F1033" s="3" t="s">
        <v>19</v>
      </c>
      <c r="G1033" s="4">
        <v>0</v>
      </c>
      <c r="H1033" s="4">
        <v>22868000</v>
      </c>
      <c r="I1033" s="3" t="s">
        <v>121</v>
      </c>
      <c r="J1033" s="4">
        <v>2</v>
      </c>
      <c r="K1033" s="3" t="s">
        <v>21</v>
      </c>
      <c r="L1033" s="4">
        <v>6600000</v>
      </c>
      <c r="M1033" s="1">
        <f>O1033*J1033*K1033</f>
        <v>0</v>
      </c>
      <c r="N1033" s="3"/>
      <c r="O1033" s="2">
        <f>L1033/J1033*(1-K1033)</f>
        <v>3300000</v>
      </c>
    </row>
    <row r="1034" ht="14.25">
      <c r="A1034" s="3" t="s">
        <v>411</v>
      </c>
      <c r="B1034" s="3" t="s">
        <v>522</v>
      </c>
      <c r="C1034" s="3" t="s">
        <v>843</v>
      </c>
      <c r="D1034" s="3" t="s">
        <v>17</v>
      </c>
      <c r="E1034" s="3" t="s">
        <v>34</v>
      </c>
      <c r="F1034" s="3" t="s">
        <v>19</v>
      </c>
      <c r="G1034" s="4">
        <v>0</v>
      </c>
      <c r="H1034" s="4">
        <v>22868000</v>
      </c>
      <c r="I1034" s="3" t="s">
        <v>29</v>
      </c>
      <c r="J1034" s="4">
        <v>5</v>
      </c>
      <c r="K1034" s="3" t="s">
        <v>21</v>
      </c>
      <c r="L1034" s="4">
        <v>2400000</v>
      </c>
      <c r="M1034" s="1">
        <f>O1034*J1034*K1034</f>
        <v>0</v>
      </c>
      <c r="N1034" s="3"/>
      <c r="O1034" s="2">
        <f>L1034/J1034*(1-K1034)</f>
        <v>480000</v>
      </c>
    </row>
    <row r="1035" ht="14.25">
      <c r="A1035" s="3" t="s">
        <v>411</v>
      </c>
      <c r="B1035" s="3" t="s">
        <v>624</v>
      </c>
      <c r="C1035" s="3" t="s">
        <v>845</v>
      </c>
      <c r="D1035" s="3" t="s">
        <v>17</v>
      </c>
      <c r="E1035" s="3" t="s">
        <v>846</v>
      </c>
      <c r="F1035" s="3" t="s">
        <v>19</v>
      </c>
      <c r="G1035" s="4">
        <v>0</v>
      </c>
      <c r="H1035" s="4">
        <v>1470000</v>
      </c>
      <c r="I1035" s="3" t="s">
        <v>847</v>
      </c>
      <c r="J1035" s="4">
        <v>1</v>
      </c>
      <c r="K1035" s="3" t="s">
        <v>21</v>
      </c>
      <c r="L1035" s="4">
        <v>650000</v>
      </c>
      <c r="M1035" s="1">
        <f>O1035*J1035*K1035</f>
        <v>0</v>
      </c>
      <c r="N1035" s="3"/>
      <c r="O1035" s="2">
        <f>L1035/J1035*(1-K1035)</f>
        <v>650000</v>
      </c>
    </row>
    <row r="1036" ht="14.25">
      <c r="A1036" s="3" t="s">
        <v>411</v>
      </c>
      <c r="B1036" s="3" t="s">
        <v>624</v>
      </c>
      <c r="C1036" s="3" t="s">
        <v>845</v>
      </c>
      <c r="D1036" s="3" t="s">
        <v>17</v>
      </c>
      <c r="E1036" s="3" t="s">
        <v>846</v>
      </c>
      <c r="F1036" s="3" t="s">
        <v>19</v>
      </c>
      <c r="G1036" s="4">
        <v>0</v>
      </c>
      <c r="H1036" s="4">
        <v>1470000</v>
      </c>
      <c r="I1036" s="3" t="s">
        <v>848</v>
      </c>
      <c r="J1036" s="4">
        <v>2</v>
      </c>
      <c r="K1036" s="3" t="s">
        <v>21</v>
      </c>
      <c r="L1036" s="4">
        <v>820000</v>
      </c>
      <c r="M1036" s="1">
        <f>O1036*J1036*K1036</f>
        <v>0</v>
      </c>
      <c r="N1036" s="3"/>
      <c r="O1036" s="2">
        <f>L1036/J1036*(1-K1036)</f>
        <v>410000</v>
      </c>
    </row>
    <row r="1037" ht="14.25">
      <c r="A1037" s="3" t="s">
        <v>411</v>
      </c>
      <c r="B1037" s="3" t="s">
        <v>834</v>
      </c>
      <c r="C1037" s="3" t="s">
        <v>849</v>
      </c>
      <c r="D1037" s="3" t="s">
        <v>17</v>
      </c>
      <c r="E1037" s="3" t="s">
        <v>43</v>
      </c>
      <c r="F1037" s="3" t="s">
        <v>19</v>
      </c>
      <c r="G1037" s="4">
        <v>0</v>
      </c>
      <c r="H1037" s="4">
        <v>11652084</v>
      </c>
      <c r="I1037" s="3" t="s">
        <v>45</v>
      </c>
      <c r="J1037" s="4">
        <v>72</v>
      </c>
      <c r="K1037" s="3" t="s">
        <v>21</v>
      </c>
      <c r="L1037" s="4">
        <v>2304000</v>
      </c>
      <c r="M1037" s="1">
        <f>O1037*J1037*K1037</f>
        <v>0</v>
      </c>
      <c r="N1037" s="3"/>
      <c r="O1037" s="2">
        <f>L1037/J1037*(1-K1037)</f>
        <v>32000</v>
      </c>
    </row>
    <row r="1038" ht="14.25">
      <c r="A1038" s="3" t="s">
        <v>411</v>
      </c>
      <c r="B1038" s="3" t="s">
        <v>834</v>
      </c>
      <c r="C1038" s="3" t="s">
        <v>849</v>
      </c>
      <c r="D1038" s="3" t="s">
        <v>17</v>
      </c>
      <c r="E1038" s="3" t="s">
        <v>43</v>
      </c>
      <c r="F1038" s="3" t="s">
        <v>19</v>
      </c>
      <c r="G1038" s="4">
        <v>0</v>
      </c>
      <c r="H1038" s="4">
        <v>11652084</v>
      </c>
      <c r="I1038" s="3" t="s">
        <v>44</v>
      </c>
      <c r="J1038" s="4">
        <v>72</v>
      </c>
      <c r="K1038" s="3" t="s">
        <v>21</v>
      </c>
      <c r="L1038" s="4">
        <v>2304000</v>
      </c>
      <c r="M1038" s="1">
        <f>O1038*J1038*K1038</f>
        <v>0</v>
      </c>
      <c r="N1038" s="3"/>
      <c r="O1038" s="2">
        <f>L1038/J1038*(1-K1038)</f>
        <v>32000</v>
      </c>
    </row>
    <row r="1039" ht="14.25">
      <c r="A1039" s="3" t="s">
        <v>411</v>
      </c>
      <c r="B1039" s="3" t="s">
        <v>834</v>
      </c>
      <c r="C1039" s="3" t="s">
        <v>849</v>
      </c>
      <c r="D1039" s="3" t="s">
        <v>17</v>
      </c>
      <c r="E1039" s="3" t="s">
        <v>43</v>
      </c>
      <c r="F1039" s="3" t="s">
        <v>19</v>
      </c>
      <c r="G1039" s="4">
        <v>0</v>
      </c>
      <c r="H1039" s="4">
        <v>11652084</v>
      </c>
      <c r="I1039" s="3" t="s">
        <v>415</v>
      </c>
      <c r="J1039" s="4">
        <v>18</v>
      </c>
      <c r="K1039" s="3" t="s">
        <v>21</v>
      </c>
      <c r="L1039" s="4">
        <v>690012</v>
      </c>
      <c r="M1039" s="1">
        <f>O1039*J1039*K1039</f>
        <v>0</v>
      </c>
      <c r="N1039" s="3"/>
      <c r="O1039" s="2">
        <f>L1039/J1039*(1-K1039)</f>
        <v>38334</v>
      </c>
    </row>
    <row r="1040" ht="14.25">
      <c r="A1040" s="3" t="s">
        <v>411</v>
      </c>
      <c r="B1040" s="3" t="s">
        <v>834</v>
      </c>
      <c r="C1040" s="3" t="s">
        <v>849</v>
      </c>
      <c r="D1040" s="3" t="s">
        <v>17</v>
      </c>
      <c r="E1040" s="3" t="s">
        <v>43</v>
      </c>
      <c r="F1040" s="3" t="s">
        <v>19</v>
      </c>
      <c r="G1040" s="4">
        <v>0</v>
      </c>
      <c r="H1040" s="4">
        <v>11652084</v>
      </c>
      <c r="I1040" s="3" t="s">
        <v>280</v>
      </c>
      <c r="J1040" s="4">
        <v>72</v>
      </c>
      <c r="K1040" s="3" t="s">
        <v>21</v>
      </c>
      <c r="L1040" s="4">
        <v>2604024</v>
      </c>
      <c r="M1040" s="1">
        <f>O1040*J1040*K1040</f>
        <v>0</v>
      </c>
      <c r="N1040" s="3"/>
      <c r="O1040" s="2">
        <f>L1040/J1040*(1-K1040)</f>
        <v>36167</v>
      </c>
    </row>
    <row r="1041" ht="14.25">
      <c r="A1041" s="3" t="s">
        <v>411</v>
      </c>
      <c r="B1041" s="3" t="s">
        <v>834</v>
      </c>
      <c r="C1041" s="3" t="s">
        <v>849</v>
      </c>
      <c r="D1041" s="3" t="s">
        <v>17</v>
      </c>
      <c r="E1041" s="3" t="s">
        <v>43</v>
      </c>
      <c r="F1041" s="3" t="s">
        <v>19</v>
      </c>
      <c r="G1041" s="4">
        <v>0</v>
      </c>
      <c r="H1041" s="4">
        <v>11652084</v>
      </c>
      <c r="I1041" s="3" t="s">
        <v>298</v>
      </c>
      <c r="J1041" s="4">
        <v>72</v>
      </c>
      <c r="K1041" s="3" t="s">
        <v>21</v>
      </c>
      <c r="L1041" s="4">
        <v>2688048</v>
      </c>
      <c r="M1041" s="1">
        <f>O1041*J1041*K1041</f>
        <v>0</v>
      </c>
      <c r="N1041" s="3"/>
      <c r="O1041" s="2">
        <f>L1041/J1041*(1-K1041)</f>
        <v>37334</v>
      </c>
    </row>
    <row r="1042" ht="14.25">
      <c r="A1042" s="3" t="s">
        <v>411</v>
      </c>
      <c r="B1042" s="3" t="s">
        <v>834</v>
      </c>
      <c r="C1042" s="3" t="s">
        <v>849</v>
      </c>
      <c r="D1042" s="3" t="s">
        <v>17</v>
      </c>
      <c r="E1042" s="3" t="s">
        <v>43</v>
      </c>
      <c r="F1042" s="3" t="s">
        <v>19</v>
      </c>
      <c r="G1042" s="4">
        <v>0</v>
      </c>
      <c r="H1042" s="4">
        <v>11652084</v>
      </c>
      <c r="I1042" s="3" t="s">
        <v>850</v>
      </c>
      <c r="J1042" s="4">
        <v>24</v>
      </c>
      <c r="K1042" s="3" t="s">
        <v>21</v>
      </c>
      <c r="L1042" s="4">
        <v>1062000</v>
      </c>
      <c r="M1042" s="1">
        <f>O1042*J1042*K1042</f>
        <v>0</v>
      </c>
      <c r="N1042" s="3"/>
      <c r="O1042" s="2">
        <f>L1042/J1042*(1-K1042)</f>
        <v>44250</v>
      </c>
    </row>
    <row r="1043" ht="14.25">
      <c r="A1043" s="3" t="s">
        <v>411</v>
      </c>
      <c r="B1043" s="3" t="s">
        <v>411</v>
      </c>
      <c r="C1043" s="3" t="s">
        <v>851</v>
      </c>
      <c r="D1043" s="3" t="s">
        <v>17</v>
      </c>
      <c r="E1043" s="3" t="s">
        <v>153</v>
      </c>
      <c r="F1043" s="3" t="s">
        <v>19</v>
      </c>
      <c r="G1043" s="4">
        <v>0</v>
      </c>
      <c r="H1043" s="4">
        <v>2500000</v>
      </c>
      <c r="I1043" s="3" t="s">
        <v>615</v>
      </c>
      <c r="J1043" s="4">
        <v>2</v>
      </c>
      <c r="K1043" s="3" t="s">
        <v>21</v>
      </c>
      <c r="L1043" s="4">
        <v>2500000</v>
      </c>
      <c r="M1043" s="1">
        <f>O1043*J1043*K1043</f>
        <v>0</v>
      </c>
      <c r="N1043" s="3"/>
      <c r="O1043" s="2">
        <f>L1043/J1043*(1-K1043)</f>
        <v>1250000</v>
      </c>
    </row>
    <row r="1044" ht="14.25">
      <c r="A1044" s="3" t="s">
        <v>411</v>
      </c>
      <c r="B1044" s="3" t="s">
        <v>411</v>
      </c>
      <c r="C1044" s="3" t="s">
        <v>852</v>
      </c>
      <c r="D1044" s="3" t="s">
        <v>17</v>
      </c>
      <c r="E1044" s="3" t="s">
        <v>263</v>
      </c>
      <c r="F1044" s="3" t="s">
        <v>19</v>
      </c>
      <c r="G1044" s="4">
        <v>0</v>
      </c>
      <c r="H1044" s="4">
        <v>3246526.7999999998</v>
      </c>
      <c r="I1044" s="3" t="s">
        <v>129</v>
      </c>
      <c r="J1044" s="4">
        <v>20</v>
      </c>
      <c r="K1044" s="3" t="s">
        <v>745</v>
      </c>
      <c r="L1044" s="4">
        <v>1638360</v>
      </c>
      <c r="M1044" s="1">
        <f>O1044*J1044*K1044</f>
        <v>106657.23599999999</v>
      </c>
      <c r="N1044" s="3"/>
      <c r="O1044" s="2">
        <f>L1044/J1044*(1-K1044)</f>
        <v>76183.739999999991</v>
      </c>
    </row>
    <row r="1045" ht="14.25">
      <c r="A1045" s="3" t="s">
        <v>411</v>
      </c>
      <c r="B1045" s="3" t="s">
        <v>411</v>
      </c>
      <c r="C1045" s="3" t="s">
        <v>852</v>
      </c>
      <c r="D1045" s="3" t="s">
        <v>17</v>
      </c>
      <c r="E1045" s="3" t="s">
        <v>263</v>
      </c>
      <c r="F1045" s="3" t="s">
        <v>19</v>
      </c>
      <c r="G1045" s="4">
        <v>0</v>
      </c>
      <c r="H1045" s="4">
        <v>3246526.7999999998</v>
      </c>
      <c r="I1045" s="3" t="s">
        <v>482</v>
      </c>
      <c r="J1045" s="4">
        <v>12</v>
      </c>
      <c r="K1045" s="3" t="s">
        <v>21</v>
      </c>
      <c r="L1045" s="4">
        <v>624180</v>
      </c>
      <c r="M1045" s="1">
        <f>O1045*J1045*K1045</f>
        <v>0</v>
      </c>
      <c r="N1045" s="3"/>
      <c r="O1045" s="2">
        <f>L1045/J1045*(1-K1045)</f>
        <v>52015</v>
      </c>
    </row>
    <row r="1046" ht="14.25">
      <c r="A1046" s="3" t="s">
        <v>411</v>
      </c>
      <c r="B1046" s="3" t="s">
        <v>411</v>
      </c>
      <c r="C1046" s="3" t="s">
        <v>852</v>
      </c>
      <c r="D1046" s="3" t="s">
        <v>17</v>
      </c>
      <c r="E1046" s="3" t="s">
        <v>263</v>
      </c>
      <c r="F1046" s="3" t="s">
        <v>19</v>
      </c>
      <c r="G1046" s="4">
        <v>0</v>
      </c>
      <c r="H1046" s="4">
        <v>3246526.7999999998</v>
      </c>
      <c r="I1046" s="3" t="s">
        <v>185</v>
      </c>
      <c r="J1046" s="4">
        <v>6</v>
      </c>
      <c r="K1046" s="3" t="s">
        <v>853</v>
      </c>
      <c r="L1046" s="4">
        <v>1168800</v>
      </c>
      <c r="M1046" s="1">
        <f>O1046*J1046*K1046</f>
        <v>65920.319999999992</v>
      </c>
      <c r="N1046" s="3"/>
      <c r="O1046" s="2">
        <f>L1046/J1046*(1-K1046)</f>
        <v>183112</v>
      </c>
    </row>
    <row r="1047" ht="14.25">
      <c r="A1047" s="3" t="s">
        <v>411</v>
      </c>
      <c r="B1047" s="3" t="s">
        <v>834</v>
      </c>
      <c r="C1047" s="3" t="s">
        <v>854</v>
      </c>
      <c r="D1047" s="3" t="s">
        <v>17</v>
      </c>
      <c r="E1047" s="3" t="s">
        <v>855</v>
      </c>
      <c r="F1047" s="3" t="s">
        <v>19</v>
      </c>
      <c r="G1047" s="4">
        <v>0</v>
      </c>
      <c r="H1047" s="4">
        <v>7250000</v>
      </c>
      <c r="I1047" s="3" t="s">
        <v>418</v>
      </c>
      <c r="J1047" s="4">
        <v>5</v>
      </c>
      <c r="K1047" s="3" t="s">
        <v>21</v>
      </c>
      <c r="L1047" s="4">
        <v>5250000</v>
      </c>
      <c r="M1047" s="1">
        <f>O1047*J1047*K1047</f>
        <v>0</v>
      </c>
      <c r="N1047" s="3"/>
      <c r="O1047" s="2">
        <f>L1047/J1047*(1-K1047)</f>
        <v>1050000</v>
      </c>
    </row>
    <row r="1048" ht="14.25">
      <c r="A1048" s="3" t="s">
        <v>411</v>
      </c>
      <c r="B1048" s="3" t="s">
        <v>834</v>
      </c>
      <c r="C1048" s="3" t="s">
        <v>854</v>
      </c>
      <c r="D1048" s="3" t="s">
        <v>17</v>
      </c>
      <c r="E1048" s="3" t="s">
        <v>855</v>
      </c>
      <c r="F1048" s="3" t="s">
        <v>19</v>
      </c>
      <c r="G1048" s="4">
        <v>0</v>
      </c>
      <c r="H1048" s="4">
        <v>7250000</v>
      </c>
      <c r="I1048" s="3" t="s">
        <v>29</v>
      </c>
      <c r="J1048" s="4">
        <v>4</v>
      </c>
      <c r="K1048" s="3" t="s">
        <v>21</v>
      </c>
      <c r="L1048" s="4">
        <v>2000000</v>
      </c>
      <c r="M1048" s="1">
        <f>O1048*J1048*K1048</f>
        <v>0</v>
      </c>
      <c r="N1048" s="3"/>
      <c r="O1048" s="2">
        <f>L1048/J1048*(1-K1048)</f>
        <v>500000</v>
      </c>
    </row>
    <row r="1049" ht="14.25">
      <c r="A1049" s="3" t="s">
        <v>411</v>
      </c>
      <c r="B1049" s="3" t="s">
        <v>834</v>
      </c>
      <c r="C1049" s="3" t="s">
        <v>856</v>
      </c>
      <c r="D1049" s="3" t="s">
        <v>17</v>
      </c>
      <c r="E1049" s="3" t="s">
        <v>857</v>
      </c>
      <c r="F1049" s="3" t="s">
        <v>19</v>
      </c>
      <c r="G1049" s="4">
        <v>0</v>
      </c>
      <c r="H1049" s="4">
        <v>12984000</v>
      </c>
      <c r="I1049" s="3" t="s">
        <v>378</v>
      </c>
      <c r="J1049" s="4">
        <v>1</v>
      </c>
      <c r="K1049" s="3" t="s">
        <v>21</v>
      </c>
      <c r="L1049" s="4">
        <v>3200000</v>
      </c>
      <c r="M1049" s="1">
        <f>O1049*J1049*K1049</f>
        <v>0</v>
      </c>
      <c r="N1049" s="3"/>
      <c r="O1049" s="2">
        <f>L1049/J1049*(1-K1049)</f>
        <v>3200000</v>
      </c>
    </row>
    <row r="1050" ht="14.25">
      <c r="A1050" s="3" t="s">
        <v>411</v>
      </c>
      <c r="B1050" s="3" t="s">
        <v>834</v>
      </c>
      <c r="C1050" s="3" t="s">
        <v>856</v>
      </c>
      <c r="D1050" s="3" t="s">
        <v>17</v>
      </c>
      <c r="E1050" s="3" t="s">
        <v>857</v>
      </c>
      <c r="F1050" s="3" t="s">
        <v>19</v>
      </c>
      <c r="G1050" s="4">
        <v>0</v>
      </c>
      <c r="H1050" s="4">
        <v>12984000</v>
      </c>
      <c r="I1050" s="3" t="s">
        <v>121</v>
      </c>
      <c r="J1050" s="4">
        <v>1</v>
      </c>
      <c r="K1050" s="3" t="s">
        <v>21</v>
      </c>
      <c r="L1050" s="4">
        <v>3800000</v>
      </c>
      <c r="M1050" s="1">
        <f>O1050*J1050*K1050</f>
        <v>0</v>
      </c>
      <c r="N1050" s="3"/>
      <c r="O1050" s="2">
        <f>L1050/J1050*(1-K1050)</f>
        <v>3800000</v>
      </c>
    </row>
    <row r="1051" ht="14.25">
      <c r="A1051" s="3" t="s">
        <v>411</v>
      </c>
      <c r="B1051" s="3" t="s">
        <v>834</v>
      </c>
      <c r="C1051" s="3" t="s">
        <v>856</v>
      </c>
      <c r="D1051" s="3" t="s">
        <v>17</v>
      </c>
      <c r="E1051" s="3" t="s">
        <v>857</v>
      </c>
      <c r="F1051" s="3" t="s">
        <v>19</v>
      </c>
      <c r="G1051" s="4">
        <v>0</v>
      </c>
      <c r="H1051" s="4">
        <v>12984000</v>
      </c>
      <c r="I1051" s="3" t="s">
        <v>29</v>
      </c>
      <c r="J1051" s="4">
        <v>3</v>
      </c>
      <c r="K1051" s="3" t="s">
        <v>21</v>
      </c>
      <c r="L1051" s="4">
        <v>1500000</v>
      </c>
      <c r="M1051" s="1">
        <f>O1051*J1051*K1051</f>
        <v>0</v>
      </c>
      <c r="N1051" s="3"/>
      <c r="O1051" s="2">
        <f>L1051/J1051*(1-K1051)</f>
        <v>500000</v>
      </c>
    </row>
    <row r="1052" ht="14.25">
      <c r="A1052" s="3" t="s">
        <v>411</v>
      </c>
      <c r="B1052" s="3" t="s">
        <v>834</v>
      </c>
      <c r="C1052" s="3" t="s">
        <v>856</v>
      </c>
      <c r="D1052" s="3" t="s">
        <v>17</v>
      </c>
      <c r="E1052" s="3" t="s">
        <v>857</v>
      </c>
      <c r="F1052" s="3" t="s">
        <v>19</v>
      </c>
      <c r="G1052" s="4">
        <v>0</v>
      </c>
      <c r="H1052" s="4">
        <v>12984000</v>
      </c>
      <c r="I1052" s="3" t="s">
        <v>395</v>
      </c>
      <c r="J1052" s="4">
        <v>12</v>
      </c>
      <c r="K1052" s="3" t="s">
        <v>21</v>
      </c>
      <c r="L1052" s="4">
        <v>1740000</v>
      </c>
      <c r="M1052" s="1">
        <f>O1052*J1052*K1052</f>
        <v>0</v>
      </c>
      <c r="N1052" s="3"/>
      <c r="O1052" s="2">
        <f>L1052/J1052*(1-K1052)</f>
        <v>145000</v>
      </c>
    </row>
    <row r="1053" ht="14.25">
      <c r="A1053" s="3" t="s">
        <v>411</v>
      </c>
      <c r="B1053" s="3" t="s">
        <v>834</v>
      </c>
      <c r="C1053" s="3" t="s">
        <v>856</v>
      </c>
      <c r="D1053" s="3" t="s">
        <v>17</v>
      </c>
      <c r="E1053" s="3" t="s">
        <v>857</v>
      </c>
      <c r="F1053" s="3" t="s">
        <v>19</v>
      </c>
      <c r="G1053" s="4">
        <v>0</v>
      </c>
      <c r="H1053" s="4">
        <v>12984000</v>
      </c>
      <c r="I1053" s="3" t="s">
        <v>47</v>
      </c>
      <c r="J1053" s="4">
        <v>24</v>
      </c>
      <c r="K1053" s="3" t="s">
        <v>21</v>
      </c>
      <c r="L1053" s="4">
        <v>864000</v>
      </c>
      <c r="M1053" s="1">
        <f>O1053*J1053*K1053</f>
        <v>0</v>
      </c>
      <c r="N1053" s="3"/>
      <c r="O1053" s="2">
        <f>L1053/J1053*(1-K1053)</f>
        <v>36000</v>
      </c>
    </row>
    <row r="1054" ht="14.25">
      <c r="A1054" s="3" t="s">
        <v>411</v>
      </c>
      <c r="B1054" s="3" t="s">
        <v>834</v>
      </c>
      <c r="C1054" s="3" t="s">
        <v>856</v>
      </c>
      <c r="D1054" s="3" t="s">
        <v>17</v>
      </c>
      <c r="E1054" s="3" t="s">
        <v>857</v>
      </c>
      <c r="F1054" s="3" t="s">
        <v>19</v>
      </c>
      <c r="G1054" s="4">
        <v>0</v>
      </c>
      <c r="H1054" s="4">
        <v>12984000</v>
      </c>
      <c r="I1054" s="3" t="s">
        <v>419</v>
      </c>
      <c r="J1054" s="4">
        <v>24</v>
      </c>
      <c r="K1054" s="3" t="s">
        <v>21</v>
      </c>
      <c r="L1054" s="4">
        <v>840000</v>
      </c>
      <c r="M1054" s="1">
        <f>O1054*J1054*K1054</f>
        <v>0</v>
      </c>
      <c r="N1054" s="3"/>
      <c r="O1054" s="2">
        <f>L1054/J1054*(1-K1054)</f>
        <v>35000</v>
      </c>
    </row>
    <row r="1055" ht="14.25">
      <c r="A1055" s="3" t="s">
        <v>411</v>
      </c>
      <c r="B1055" s="3" t="s">
        <v>834</v>
      </c>
      <c r="C1055" s="3" t="s">
        <v>856</v>
      </c>
      <c r="D1055" s="3" t="s">
        <v>17</v>
      </c>
      <c r="E1055" s="3" t="s">
        <v>857</v>
      </c>
      <c r="F1055" s="3" t="s">
        <v>19</v>
      </c>
      <c r="G1055" s="4">
        <v>0</v>
      </c>
      <c r="H1055" s="4">
        <v>12984000</v>
      </c>
      <c r="I1055" s="3" t="s">
        <v>188</v>
      </c>
      <c r="J1055" s="4">
        <v>4</v>
      </c>
      <c r="K1055" s="3" t="s">
        <v>21</v>
      </c>
      <c r="L1055" s="4">
        <v>1040000</v>
      </c>
      <c r="M1055" s="1">
        <f>O1055*J1055*K1055</f>
        <v>0</v>
      </c>
      <c r="N1055" s="3"/>
      <c r="O1055" s="2">
        <f>L1055/J1055*(1-K1055)</f>
        <v>260000</v>
      </c>
    </row>
    <row r="1056" ht="14.25">
      <c r="A1056" s="3" t="s">
        <v>411</v>
      </c>
      <c r="B1056" s="3" t="s">
        <v>858</v>
      </c>
      <c r="C1056" s="3" t="s">
        <v>859</v>
      </c>
      <c r="D1056" s="3" t="s">
        <v>17</v>
      </c>
      <c r="E1056" s="3" t="s">
        <v>860</v>
      </c>
      <c r="F1056" s="3" t="s">
        <v>19</v>
      </c>
      <c r="G1056" s="4">
        <v>0</v>
      </c>
      <c r="H1056" s="4">
        <v>1836000</v>
      </c>
      <c r="I1056" s="3" t="s">
        <v>108</v>
      </c>
      <c r="J1056" s="4">
        <v>24</v>
      </c>
      <c r="K1056" s="3" t="s">
        <v>21</v>
      </c>
      <c r="L1056" s="4">
        <v>624000</v>
      </c>
      <c r="M1056" s="1">
        <f>O1056*J1056*K1056</f>
        <v>0</v>
      </c>
      <c r="N1056" s="3"/>
      <c r="O1056" s="2">
        <f>L1056/J1056*(1-K1056)</f>
        <v>26000</v>
      </c>
    </row>
    <row r="1057" ht="14.25">
      <c r="A1057" s="3" t="s">
        <v>411</v>
      </c>
      <c r="B1057" s="3" t="s">
        <v>858</v>
      </c>
      <c r="C1057" s="3" t="s">
        <v>859</v>
      </c>
      <c r="D1057" s="3" t="s">
        <v>17</v>
      </c>
      <c r="E1057" s="3" t="s">
        <v>860</v>
      </c>
      <c r="F1057" s="3" t="s">
        <v>19</v>
      </c>
      <c r="G1057" s="4">
        <v>0</v>
      </c>
      <c r="H1057" s="4">
        <v>1836000</v>
      </c>
      <c r="I1057" s="3" t="s">
        <v>32</v>
      </c>
      <c r="J1057" s="4">
        <v>24</v>
      </c>
      <c r="K1057" s="3" t="s">
        <v>21</v>
      </c>
      <c r="L1057" s="4">
        <v>612000</v>
      </c>
      <c r="M1057" s="1">
        <f>O1057*J1057*K1057</f>
        <v>0</v>
      </c>
      <c r="N1057" s="3"/>
      <c r="O1057" s="2">
        <f>L1057/J1057*(1-K1057)</f>
        <v>25500</v>
      </c>
    </row>
    <row r="1058" ht="14.25">
      <c r="A1058" s="3" t="s">
        <v>411</v>
      </c>
      <c r="B1058" s="3" t="s">
        <v>858</v>
      </c>
      <c r="C1058" s="3" t="s">
        <v>859</v>
      </c>
      <c r="D1058" s="3" t="s">
        <v>17</v>
      </c>
      <c r="E1058" s="3" t="s">
        <v>860</v>
      </c>
      <c r="F1058" s="3" t="s">
        <v>19</v>
      </c>
      <c r="G1058" s="4">
        <v>0</v>
      </c>
      <c r="H1058" s="4">
        <v>1836000</v>
      </c>
      <c r="I1058" s="3" t="s">
        <v>633</v>
      </c>
      <c r="J1058" s="4">
        <v>24</v>
      </c>
      <c r="K1058" s="3" t="s">
        <v>21</v>
      </c>
      <c r="L1058" s="4">
        <v>600000</v>
      </c>
      <c r="M1058" s="1">
        <f>O1058*J1058*K1058</f>
        <v>0</v>
      </c>
      <c r="N1058" s="3"/>
      <c r="O1058" s="2">
        <f>L1058/J1058*(1-K1058)</f>
        <v>25000</v>
      </c>
    </row>
    <row r="1059" ht="14.25">
      <c r="A1059" s="3" t="s">
        <v>411</v>
      </c>
      <c r="B1059" s="3" t="s">
        <v>411</v>
      </c>
      <c r="C1059" s="3" t="s">
        <v>861</v>
      </c>
      <c r="D1059" s="3" t="s">
        <v>17</v>
      </c>
      <c r="E1059" s="3" t="s">
        <v>60</v>
      </c>
      <c r="F1059" s="3" t="s">
        <v>19</v>
      </c>
      <c r="G1059" s="4">
        <v>0</v>
      </c>
      <c r="H1059" s="4">
        <v>15000000</v>
      </c>
      <c r="I1059" s="3" t="s">
        <v>862</v>
      </c>
      <c r="J1059" s="4">
        <v>2</v>
      </c>
      <c r="K1059" s="3" t="s">
        <v>21</v>
      </c>
      <c r="L1059" s="4">
        <v>15000000</v>
      </c>
      <c r="M1059" s="1">
        <f>O1059*J1059*K1059</f>
        <v>0</v>
      </c>
      <c r="N1059" s="3"/>
      <c r="O1059" s="2">
        <f>L1059/J1059*(1-K1059)</f>
        <v>7500000</v>
      </c>
    </row>
    <row r="1060" ht="14.25">
      <c r="A1060" s="3" t="s">
        <v>421</v>
      </c>
      <c r="B1060" s="3" t="s">
        <v>421</v>
      </c>
      <c r="C1060" s="3" t="s">
        <v>863</v>
      </c>
      <c r="D1060" s="3" t="s">
        <v>17</v>
      </c>
      <c r="E1060" s="3" t="s">
        <v>550</v>
      </c>
      <c r="F1060" s="3" t="s">
        <v>19</v>
      </c>
      <c r="G1060" s="4">
        <v>0</v>
      </c>
      <c r="H1060" s="4">
        <v>700000</v>
      </c>
      <c r="I1060" s="3" t="s">
        <v>684</v>
      </c>
      <c r="J1060" s="4">
        <v>1</v>
      </c>
      <c r="K1060" s="3" t="s">
        <v>21</v>
      </c>
      <c r="L1060" s="4">
        <v>700000</v>
      </c>
      <c r="M1060" s="1">
        <f>O1060*J1060*K1060</f>
        <v>0</v>
      </c>
      <c r="N1060" s="3"/>
      <c r="O1060" s="2">
        <f>L1060/J1060*(1-K1060)</f>
        <v>700000</v>
      </c>
    </row>
    <row r="1061" ht="14.25">
      <c r="A1061" s="3" t="s">
        <v>421</v>
      </c>
      <c r="B1061" s="3" t="s">
        <v>864</v>
      </c>
      <c r="C1061" s="3" t="s">
        <v>865</v>
      </c>
      <c r="D1061" s="3" t="s">
        <v>17</v>
      </c>
      <c r="E1061" s="3" t="s">
        <v>726</v>
      </c>
      <c r="F1061" s="3" t="s">
        <v>19</v>
      </c>
      <c r="G1061" s="4">
        <v>0</v>
      </c>
      <c r="H1061" s="4">
        <v>7423420</v>
      </c>
      <c r="I1061" s="3" t="s">
        <v>38</v>
      </c>
      <c r="J1061" s="4">
        <v>6</v>
      </c>
      <c r="K1061" s="3" t="s">
        <v>745</v>
      </c>
      <c r="L1061" s="4">
        <v>1015800</v>
      </c>
      <c r="M1061" s="1">
        <f>O1061*J1061*K1061</f>
        <v>66128.580000000002</v>
      </c>
      <c r="N1061" s="3"/>
      <c r="O1061" s="2">
        <f>L1061/J1061*(1-K1061)</f>
        <v>157449</v>
      </c>
    </row>
    <row r="1062" ht="14.25">
      <c r="A1062" s="3" t="s">
        <v>421</v>
      </c>
      <c r="B1062" s="3" t="s">
        <v>864</v>
      </c>
      <c r="C1062" s="3" t="s">
        <v>865</v>
      </c>
      <c r="D1062" s="3" t="s">
        <v>17</v>
      </c>
      <c r="E1062" s="3" t="s">
        <v>726</v>
      </c>
      <c r="F1062" s="3" t="s">
        <v>19</v>
      </c>
      <c r="G1062" s="4">
        <v>0</v>
      </c>
      <c r="H1062" s="4">
        <v>7423420</v>
      </c>
      <c r="I1062" s="3" t="s">
        <v>210</v>
      </c>
      <c r="J1062" s="4">
        <v>6</v>
      </c>
      <c r="K1062" s="3" t="s">
        <v>745</v>
      </c>
      <c r="L1062" s="4">
        <v>272400</v>
      </c>
      <c r="M1062" s="1">
        <f>O1062*J1062*K1062</f>
        <v>17733.240000000002</v>
      </c>
      <c r="N1062" s="3"/>
      <c r="O1062" s="2">
        <f>L1062/J1062*(1-K1062)</f>
        <v>42222</v>
      </c>
    </row>
    <row r="1063" ht="14.25">
      <c r="A1063" s="3" t="s">
        <v>421</v>
      </c>
      <c r="B1063" s="3" t="s">
        <v>864</v>
      </c>
      <c r="C1063" s="3" t="s">
        <v>865</v>
      </c>
      <c r="D1063" s="3" t="s">
        <v>17</v>
      </c>
      <c r="E1063" s="3" t="s">
        <v>726</v>
      </c>
      <c r="F1063" s="3" t="s">
        <v>19</v>
      </c>
      <c r="G1063" s="4">
        <v>0</v>
      </c>
      <c r="H1063" s="4">
        <v>7423420</v>
      </c>
      <c r="I1063" s="3" t="s">
        <v>66</v>
      </c>
      <c r="J1063" s="4">
        <v>2</v>
      </c>
      <c r="K1063" s="3" t="s">
        <v>745</v>
      </c>
      <c r="L1063" s="4">
        <v>891200</v>
      </c>
      <c r="M1063" s="1">
        <f>O1063*J1063*K1063</f>
        <v>58017.120000000003</v>
      </c>
      <c r="N1063" s="3"/>
      <c r="O1063" s="2">
        <f>L1063/J1063*(1-K1063)</f>
        <v>414408</v>
      </c>
    </row>
    <row r="1064" ht="14.25">
      <c r="A1064" s="3" t="s">
        <v>421</v>
      </c>
      <c r="B1064" s="3" t="s">
        <v>864</v>
      </c>
      <c r="C1064" s="3" t="s">
        <v>865</v>
      </c>
      <c r="D1064" s="3" t="s">
        <v>17</v>
      </c>
      <c r="E1064" s="3" t="s">
        <v>726</v>
      </c>
      <c r="F1064" s="3" t="s">
        <v>19</v>
      </c>
      <c r="G1064" s="4">
        <v>0</v>
      </c>
      <c r="H1064" s="4">
        <v>7423420</v>
      </c>
      <c r="I1064" s="3" t="s">
        <v>748</v>
      </c>
      <c r="J1064" s="4">
        <v>2</v>
      </c>
      <c r="K1064" s="3" t="s">
        <v>745</v>
      </c>
      <c r="L1064" s="4">
        <v>757600</v>
      </c>
      <c r="M1064" s="1">
        <f>O1064*J1064*K1064</f>
        <v>49319.760000000002</v>
      </c>
      <c r="N1064" s="3"/>
      <c r="O1064" s="2">
        <f>L1064/J1064*(1-K1064)</f>
        <v>352284</v>
      </c>
    </row>
    <row r="1065" ht="14.25">
      <c r="A1065" s="3" t="s">
        <v>421</v>
      </c>
      <c r="B1065" s="3" t="s">
        <v>864</v>
      </c>
      <c r="C1065" s="3" t="s">
        <v>865</v>
      </c>
      <c r="D1065" s="3" t="s">
        <v>17</v>
      </c>
      <c r="E1065" s="3" t="s">
        <v>726</v>
      </c>
      <c r="F1065" s="3" t="s">
        <v>19</v>
      </c>
      <c r="G1065" s="4">
        <v>0</v>
      </c>
      <c r="H1065" s="4">
        <v>7423420</v>
      </c>
      <c r="I1065" s="3" t="s">
        <v>67</v>
      </c>
      <c r="J1065" s="4">
        <v>2</v>
      </c>
      <c r="K1065" s="3" t="s">
        <v>745</v>
      </c>
      <c r="L1065" s="4">
        <v>777000</v>
      </c>
      <c r="M1065" s="1">
        <f>O1065*J1065*K1065</f>
        <v>50582.700000000004</v>
      </c>
      <c r="N1065" s="3"/>
      <c r="O1065" s="2">
        <f>L1065/J1065*(1-K1065)</f>
        <v>361305</v>
      </c>
    </row>
    <row r="1066" ht="14.25">
      <c r="A1066" s="3" t="s">
        <v>421</v>
      </c>
      <c r="B1066" s="3" t="s">
        <v>864</v>
      </c>
      <c r="C1066" s="3" t="s">
        <v>865</v>
      </c>
      <c r="D1066" s="3" t="s">
        <v>17</v>
      </c>
      <c r="E1066" s="3" t="s">
        <v>726</v>
      </c>
      <c r="F1066" s="3" t="s">
        <v>19</v>
      </c>
      <c r="G1066" s="4">
        <v>0</v>
      </c>
      <c r="H1066" s="4">
        <v>7423420</v>
      </c>
      <c r="I1066" s="3" t="s">
        <v>36</v>
      </c>
      <c r="J1066" s="4">
        <v>8</v>
      </c>
      <c r="K1066" s="3" t="s">
        <v>745</v>
      </c>
      <c r="L1066" s="4">
        <v>1580000</v>
      </c>
      <c r="M1066" s="1">
        <f>O1066*J1066*K1066</f>
        <v>102858.00000000001</v>
      </c>
      <c r="N1066" s="3"/>
      <c r="O1066" s="2">
        <f>L1066/J1066*(1-K1066)</f>
        <v>183675</v>
      </c>
    </row>
    <row r="1067" ht="14.25">
      <c r="A1067" s="3" t="s">
        <v>421</v>
      </c>
      <c r="B1067" s="3" t="s">
        <v>864</v>
      </c>
      <c r="C1067" s="3" t="s">
        <v>865</v>
      </c>
      <c r="D1067" s="3" t="s">
        <v>17</v>
      </c>
      <c r="E1067" s="3" t="s">
        <v>726</v>
      </c>
      <c r="F1067" s="3" t="s">
        <v>19</v>
      </c>
      <c r="G1067" s="4">
        <v>0</v>
      </c>
      <c r="H1067" s="4">
        <v>7423420</v>
      </c>
      <c r="I1067" s="3" t="s">
        <v>731</v>
      </c>
      <c r="J1067" s="4">
        <v>5</v>
      </c>
      <c r="K1067" s="3" t="s">
        <v>21</v>
      </c>
      <c r="L1067" s="4">
        <v>2500000</v>
      </c>
      <c r="M1067" s="1">
        <f>O1067*J1067*K1067</f>
        <v>0</v>
      </c>
      <c r="N1067" s="3"/>
      <c r="O1067" s="2">
        <f>L1067/J1067*(1-K1067)</f>
        <v>500000</v>
      </c>
    </row>
    <row r="1068" ht="14.25">
      <c r="A1068" s="3" t="s">
        <v>421</v>
      </c>
      <c r="B1068" s="3" t="s">
        <v>421</v>
      </c>
      <c r="C1068" s="3" t="s">
        <v>866</v>
      </c>
      <c r="D1068" s="3" t="s">
        <v>17</v>
      </c>
      <c r="E1068" s="3" t="s">
        <v>867</v>
      </c>
      <c r="F1068" s="3" t="s">
        <v>19</v>
      </c>
      <c r="G1068" s="4">
        <v>0</v>
      </c>
      <c r="H1068" s="4">
        <v>35079440</v>
      </c>
      <c r="I1068" s="3" t="s">
        <v>54</v>
      </c>
      <c r="J1068" s="4">
        <v>40</v>
      </c>
      <c r="K1068" s="3" t="s">
        <v>21</v>
      </c>
      <c r="L1068" s="4">
        <v>16159680</v>
      </c>
      <c r="M1068" s="1">
        <f>O1068*J1068*K1068</f>
        <v>0</v>
      </c>
      <c r="N1068" s="3"/>
      <c r="O1068" s="2">
        <f>L1068/J1068*(1-K1068)</f>
        <v>403992</v>
      </c>
    </row>
    <row r="1069" ht="14.25">
      <c r="A1069" s="3" t="s">
        <v>421</v>
      </c>
      <c r="B1069" s="3" t="s">
        <v>421</v>
      </c>
      <c r="C1069" s="3" t="s">
        <v>866</v>
      </c>
      <c r="D1069" s="3" t="s">
        <v>17</v>
      </c>
      <c r="E1069" s="3" t="s">
        <v>867</v>
      </c>
      <c r="F1069" s="3" t="s">
        <v>19</v>
      </c>
      <c r="G1069" s="4">
        <v>0</v>
      </c>
      <c r="H1069" s="4">
        <v>35079440</v>
      </c>
      <c r="I1069" s="3" t="s">
        <v>672</v>
      </c>
      <c r="J1069" s="4">
        <v>1</v>
      </c>
      <c r="K1069" s="3" t="s">
        <v>21</v>
      </c>
      <c r="L1069" s="4">
        <v>6800000</v>
      </c>
      <c r="M1069" s="1">
        <f>O1069*J1069*K1069</f>
        <v>0</v>
      </c>
      <c r="N1069" s="3"/>
      <c r="O1069" s="2">
        <f>L1069/J1069*(1-K1069)</f>
        <v>6800000</v>
      </c>
    </row>
    <row r="1070" ht="14.25">
      <c r="A1070" s="3" t="s">
        <v>421</v>
      </c>
      <c r="B1070" s="3" t="s">
        <v>421</v>
      </c>
      <c r="C1070" s="3" t="s">
        <v>866</v>
      </c>
      <c r="D1070" s="3" t="s">
        <v>17</v>
      </c>
      <c r="E1070" s="3" t="s">
        <v>867</v>
      </c>
      <c r="F1070" s="3" t="s">
        <v>19</v>
      </c>
      <c r="G1070" s="4">
        <v>0</v>
      </c>
      <c r="H1070" s="4">
        <v>35079440</v>
      </c>
      <c r="I1070" s="3" t="s">
        <v>868</v>
      </c>
      <c r="J1070" s="4">
        <v>30</v>
      </c>
      <c r="K1070" s="3" t="s">
        <v>21</v>
      </c>
      <c r="L1070" s="4">
        <v>12119760</v>
      </c>
      <c r="M1070" s="1">
        <f>O1070*J1070*K1070</f>
        <v>0</v>
      </c>
      <c r="N1070" s="3"/>
      <c r="O1070" s="2">
        <f>L1070/J1070*(1-K1070)</f>
        <v>403992</v>
      </c>
    </row>
    <row r="1071" ht="14.25">
      <c r="A1071" s="3" t="s">
        <v>421</v>
      </c>
      <c r="B1071" s="3" t="s">
        <v>421</v>
      </c>
      <c r="C1071" s="3" t="s">
        <v>869</v>
      </c>
      <c r="D1071" s="3" t="s">
        <v>17</v>
      </c>
      <c r="E1071" s="3" t="s">
        <v>346</v>
      </c>
      <c r="F1071" s="3" t="s">
        <v>19</v>
      </c>
      <c r="G1071" s="4">
        <v>0</v>
      </c>
      <c r="H1071" s="4">
        <v>89000000</v>
      </c>
      <c r="I1071" s="3" t="s">
        <v>154</v>
      </c>
      <c r="J1071" s="4">
        <v>10</v>
      </c>
      <c r="K1071" s="3" t="s">
        <v>21</v>
      </c>
      <c r="L1071" s="4">
        <v>51000000</v>
      </c>
      <c r="M1071" s="1">
        <f>O1071*J1071*K1071</f>
        <v>0</v>
      </c>
      <c r="N1071" s="3"/>
      <c r="O1071" s="2">
        <f>L1071/J1071*(1-K1071)</f>
        <v>5100000</v>
      </c>
    </row>
    <row r="1072" ht="14.25">
      <c r="A1072" s="3" t="s">
        <v>421</v>
      </c>
      <c r="B1072" s="3" t="s">
        <v>421</v>
      </c>
      <c r="C1072" s="3" t="s">
        <v>869</v>
      </c>
      <c r="D1072" s="3" t="s">
        <v>17</v>
      </c>
      <c r="E1072" s="3" t="s">
        <v>346</v>
      </c>
      <c r="F1072" s="3" t="s">
        <v>19</v>
      </c>
      <c r="G1072" s="4">
        <v>0</v>
      </c>
      <c r="H1072" s="4">
        <v>89000000</v>
      </c>
      <c r="I1072" s="3" t="s">
        <v>347</v>
      </c>
      <c r="J1072" s="4">
        <v>5</v>
      </c>
      <c r="K1072" s="3" t="s">
        <v>21</v>
      </c>
      <c r="L1072" s="4">
        <v>20000000</v>
      </c>
      <c r="M1072" s="1">
        <f>O1072*J1072*K1072</f>
        <v>0</v>
      </c>
      <c r="N1072" s="3"/>
      <c r="O1072" s="2">
        <f>L1072/J1072*(1-K1072)</f>
        <v>4000000</v>
      </c>
    </row>
    <row r="1073" ht="14.25">
      <c r="A1073" s="3" t="s">
        <v>421</v>
      </c>
      <c r="B1073" s="3" t="s">
        <v>421</v>
      </c>
      <c r="C1073" s="3" t="s">
        <v>869</v>
      </c>
      <c r="D1073" s="3" t="s">
        <v>17</v>
      </c>
      <c r="E1073" s="3" t="s">
        <v>346</v>
      </c>
      <c r="F1073" s="3" t="s">
        <v>19</v>
      </c>
      <c r="G1073" s="4">
        <v>0</v>
      </c>
      <c r="H1073" s="4">
        <v>89000000</v>
      </c>
      <c r="I1073" s="3" t="s">
        <v>234</v>
      </c>
      <c r="J1073" s="4">
        <v>4</v>
      </c>
      <c r="K1073" s="3" t="s">
        <v>21</v>
      </c>
      <c r="L1073" s="4">
        <v>18000000</v>
      </c>
      <c r="M1073" s="1">
        <f>O1073*J1073*K1073</f>
        <v>0</v>
      </c>
      <c r="N1073" s="3"/>
      <c r="O1073" s="2">
        <f>L1073/J1073*(1-K1073)</f>
        <v>4500000</v>
      </c>
    </row>
    <row r="1074" ht="14.25">
      <c r="A1074" s="3" t="s">
        <v>421</v>
      </c>
      <c r="B1074" s="3" t="s">
        <v>421</v>
      </c>
      <c r="C1074" s="3" t="s">
        <v>870</v>
      </c>
      <c r="D1074" s="3" t="s">
        <v>17</v>
      </c>
      <c r="E1074" s="3" t="s">
        <v>360</v>
      </c>
      <c r="F1074" s="3" t="s">
        <v>19</v>
      </c>
      <c r="G1074" s="4">
        <v>0</v>
      </c>
      <c r="H1074" s="4">
        <v>2820000</v>
      </c>
      <c r="I1074" s="3" t="s">
        <v>32</v>
      </c>
      <c r="J1074" s="4">
        <v>24</v>
      </c>
      <c r="K1074" s="3" t="s">
        <v>21</v>
      </c>
      <c r="L1074" s="4">
        <v>540000</v>
      </c>
      <c r="M1074" s="1">
        <f>O1074*J1074*K1074</f>
        <v>0</v>
      </c>
      <c r="N1074" s="3"/>
      <c r="O1074" s="2">
        <f>L1074/J1074*(1-K1074)</f>
        <v>22500</v>
      </c>
    </row>
    <row r="1075" ht="14.25">
      <c r="A1075" s="3" t="s">
        <v>421</v>
      </c>
      <c r="B1075" s="3" t="s">
        <v>421</v>
      </c>
      <c r="C1075" s="3" t="s">
        <v>870</v>
      </c>
      <c r="D1075" s="3" t="s">
        <v>17</v>
      </c>
      <c r="E1075" s="3" t="s">
        <v>360</v>
      </c>
      <c r="F1075" s="3" t="s">
        <v>19</v>
      </c>
      <c r="G1075" s="4">
        <v>0</v>
      </c>
      <c r="H1075" s="4">
        <v>2820000</v>
      </c>
      <c r="I1075" s="3" t="s">
        <v>108</v>
      </c>
      <c r="J1075" s="4">
        <v>48</v>
      </c>
      <c r="K1075" s="3" t="s">
        <v>21</v>
      </c>
      <c r="L1075" s="4">
        <v>1104000</v>
      </c>
      <c r="M1075" s="1">
        <f>O1075*J1075*K1075</f>
        <v>0</v>
      </c>
      <c r="N1075" s="3"/>
      <c r="O1075" s="2">
        <f>L1075/J1075*(1-K1075)</f>
        <v>23000</v>
      </c>
    </row>
    <row r="1076" ht="14.25">
      <c r="A1076" s="3" t="s">
        <v>421</v>
      </c>
      <c r="B1076" s="3" t="s">
        <v>421</v>
      </c>
      <c r="C1076" s="3" t="s">
        <v>870</v>
      </c>
      <c r="D1076" s="3" t="s">
        <v>17</v>
      </c>
      <c r="E1076" s="3" t="s">
        <v>360</v>
      </c>
      <c r="F1076" s="3" t="s">
        <v>19</v>
      </c>
      <c r="G1076" s="4">
        <v>0</v>
      </c>
      <c r="H1076" s="4">
        <v>2820000</v>
      </c>
      <c r="I1076" s="3" t="s">
        <v>166</v>
      </c>
      <c r="J1076" s="4">
        <v>72</v>
      </c>
      <c r="K1076" s="3" t="s">
        <v>21</v>
      </c>
      <c r="L1076" s="4">
        <v>864000</v>
      </c>
      <c r="M1076" s="1">
        <f>O1076*J1076*K1076</f>
        <v>0</v>
      </c>
      <c r="N1076" s="3"/>
      <c r="O1076" s="2">
        <f>L1076/J1076*(1-K1076)</f>
        <v>12000</v>
      </c>
    </row>
    <row r="1077" ht="14.25">
      <c r="A1077" s="3" t="s">
        <v>421</v>
      </c>
      <c r="B1077" s="3" t="s">
        <v>421</v>
      </c>
      <c r="C1077" s="3" t="s">
        <v>870</v>
      </c>
      <c r="D1077" s="3" t="s">
        <v>17</v>
      </c>
      <c r="E1077" s="3" t="s">
        <v>360</v>
      </c>
      <c r="F1077" s="3" t="s">
        <v>19</v>
      </c>
      <c r="G1077" s="4">
        <v>0</v>
      </c>
      <c r="H1077" s="4">
        <v>2820000</v>
      </c>
      <c r="I1077" s="3" t="s">
        <v>117</v>
      </c>
      <c r="J1077" s="4">
        <v>24</v>
      </c>
      <c r="K1077" s="3" t="s">
        <v>21</v>
      </c>
      <c r="L1077" s="4">
        <v>312000</v>
      </c>
      <c r="M1077" s="1">
        <f>O1077*J1077*K1077</f>
        <v>0</v>
      </c>
      <c r="N1077" s="3"/>
      <c r="O1077" s="2">
        <f>L1077/J1077*(1-K1077)</f>
        <v>13000</v>
      </c>
    </row>
    <row r="1078" ht="14.25">
      <c r="A1078" s="3" t="s">
        <v>437</v>
      </c>
      <c r="B1078" s="3" t="s">
        <v>437</v>
      </c>
      <c r="C1078" s="3" t="s">
        <v>871</v>
      </c>
      <c r="D1078" s="3" t="s">
        <v>17</v>
      </c>
      <c r="E1078" s="3" t="s">
        <v>872</v>
      </c>
      <c r="F1078" s="3" t="s">
        <v>19</v>
      </c>
      <c r="G1078" s="4">
        <v>0</v>
      </c>
      <c r="H1078" s="4">
        <v>600000</v>
      </c>
      <c r="I1078" s="3" t="s">
        <v>29</v>
      </c>
      <c r="J1078" s="4">
        <v>1</v>
      </c>
      <c r="K1078" s="3" t="s">
        <v>21</v>
      </c>
      <c r="L1078" s="4">
        <v>600000</v>
      </c>
      <c r="M1078" s="1">
        <f>O1078*J1078*K1078</f>
        <v>0</v>
      </c>
      <c r="N1078" s="3"/>
      <c r="O1078" s="2">
        <f>L1078/J1078*(1-K1078)</f>
        <v>600000</v>
      </c>
    </row>
    <row r="1079" ht="14.25">
      <c r="A1079" s="3" t="s">
        <v>437</v>
      </c>
      <c r="B1079" s="3" t="s">
        <v>437</v>
      </c>
      <c r="C1079" s="3" t="s">
        <v>873</v>
      </c>
      <c r="D1079" s="3" t="s">
        <v>17</v>
      </c>
      <c r="E1079" s="3" t="s">
        <v>874</v>
      </c>
      <c r="F1079" s="3" t="s">
        <v>19</v>
      </c>
      <c r="G1079" s="4">
        <v>0</v>
      </c>
      <c r="H1079" s="4">
        <v>600000</v>
      </c>
      <c r="I1079" s="3" t="s">
        <v>29</v>
      </c>
      <c r="J1079" s="4">
        <v>1</v>
      </c>
      <c r="K1079" s="3" t="s">
        <v>21</v>
      </c>
      <c r="L1079" s="4">
        <v>600000</v>
      </c>
      <c r="M1079" s="1">
        <f>O1079*J1079*K1079</f>
        <v>0</v>
      </c>
      <c r="N1079" s="3"/>
      <c r="O1079" s="2">
        <f>L1079/J1079*(1-K1079)</f>
        <v>600000</v>
      </c>
    </row>
    <row r="1080" ht="14.25">
      <c r="A1080" s="3" t="s">
        <v>437</v>
      </c>
      <c r="B1080" s="3" t="s">
        <v>437</v>
      </c>
      <c r="C1080" s="3" t="s">
        <v>875</v>
      </c>
      <c r="D1080" s="3" t="s">
        <v>17</v>
      </c>
      <c r="E1080" s="3" t="s">
        <v>876</v>
      </c>
      <c r="F1080" s="3" t="s">
        <v>19</v>
      </c>
      <c r="G1080" s="4">
        <v>0</v>
      </c>
      <c r="H1080" s="4">
        <v>2153460</v>
      </c>
      <c r="I1080" s="3" t="s">
        <v>746</v>
      </c>
      <c r="J1080" s="4">
        <v>6</v>
      </c>
      <c r="K1080" s="3" t="s">
        <v>21</v>
      </c>
      <c r="L1080" s="4">
        <v>1067400</v>
      </c>
      <c r="M1080" s="1">
        <f>O1080*J1080*K1080</f>
        <v>0</v>
      </c>
      <c r="N1080" s="3"/>
      <c r="O1080" s="2">
        <f>L1080/J1080*(1-K1080)</f>
        <v>177900</v>
      </c>
    </row>
    <row r="1081" ht="14.25">
      <c r="A1081" s="3" t="s">
        <v>437</v>
      </c>
      <c r="B1081" s="3" t="s">
        <v>437</v>
      </c>
      <c r="C1081" s="3" t="s">
        <v>875</v>
      </c>
      <c r="D1081" s="3" t="s">
        <v>17</v>
      </c>
      <c r="E1081" s="3" t="s">
        <v>876</v>
      </c>
      <c r="F1081" s="3" t="s">
        <v>19</v>
      </c>
      <c r="G1081" s="4">
        <v>0</v>
      </c>
      <c r="H1081" s="4">
        <v>2153460</v>
      </c>
      <c r="I1081" s="3" t="s">
        <v>877</v>
      </c>
      <c r="J1081" s="4">
        <v>6</v>
      </c>
      <c r="K1081" s="3" t="s">
        <v>21</v>
      </c>
      <c r="L1081" s="4">
        <v>1199400</v>
      </c>
      <c r="M1081" s="1">
        <f>O1081*J1081*K1081</f>
        <v>0</v>
      </c>
      <c r="N1081" s="3"/>
      <c r="O1081" s="2">
        <f>L1081/J1081*(1-K1081)</f>
        <v>199900</v>
      </c>
    </row>
    <row r="1082" ht="14.25">
      <c r="A1082" s="3" t="s">
        <v>437</v>
      </c>
      <c r="B1082" s="3" t="s">
        <v>878</v>
      </c>
      <c r="C1082" s="3" t="s">
        <v>879</v>
      </c>
      <c r="D1082" s="3" t="s">
        <v>17</v>
      </c>
      <c r="E1082" s="3" t="s">
        <v>880</v>
      </c>
      <c r="F1082" s="3" t="s">
        <v>19</v>
      </c>
      <c r="G1082" s="4">
        <v>0</v>
      </c>
      <c r="H1082" s="4">
        <v>1527732</v>
      </c>
      <c r="I1082" s="3" t="s">
        <v>108</v>
      </c>
      <c r="J1082" s="4">
        <v>24</v>
      </c>
      <c r="K1082" s="3" t="s">
        <v>21</v>
      </c>
      <c r="L1082" s="4">
        <v>612000</v>
      </c>
      <c r="M1082" s="1">
        <f>O1082*J1082*K1082</f>
        <v>0</v>
      </c>
      <c r="N1082" s="3"/>
      <c r="O1082" s="2">
        <f>L1082/J1082*(1-K1082)</f>
        <v>25500</v>
      </c>
    </row>
    <row r="1083" ht="14.25">
      <c r="A1083" s="3" t="s">
        <v>437</v>
      </c>
      <c r="B1083" s="3" t="s">
        <v>878</v>
      </c>
      <c r="C1083" s="3" t="s">
        <v>879</v>
      </c>
      <c r="D1083" s="3" t="s">
        <v>17</v>
      </c>
      <c r="E1083" s="3" t="s">
        <v>880</v>
      </c>
      <c r="F1083" s="3" t="s">
        <v>19</v>
      </c>
      <c r="G1083" s="4">
        <v>0</v>
      </c>
      <c r="H1083" s="4">
        <v>1527732</v>
      </c>
      <c r="I1083" s="3" t="s">
        <v>32</v>
      </c>
      <c r="J1083" s="4">
        <v>24</v>
      </c>
      <c r="K1083" s="3" t="s">
        <v>21</v>
      </c>
      <c r="L1083" s="4">
        <v>612000</v>
      </c>
      <c r="M1083" s="1">
        <f>O1083*J1083*K1083</f>
        <v>0</v>
      </c>
      <c r="N1083" s="3"/>
      <c r="O1083" s="2">
        <f>L1083/J1083*(1-K1083)</f>
        <v>25500</v>
      </c>
    </row>
    <row r="1084" ht="14.25">
      <c r="A1084" s="3" t="s">
        <v>437</v>
      </c>
      <c r="B1084" s="3" t="s">
        <v>878</v>
      </c>
      <c r="C1084" s="3" t="s">
        <v>879</v>
      </c>
      <c r="D1084" s="3" t="s">
        <v>17</v>
      </c>
      <c r="E1084" s="3" t="s">
        <v>880</v>
      </c>
      <c r="F1084" s="3" t="s">
        <v>19</v>
      </c>
      <c r="G1084" s="4">
        <v>0</v>
      </c>
      <c r="H1084" s="4">
        <v>1527732</v>
      </c>
      <c r="I1084" s="3" t="s">
        <v>162</v>
      </c>
      <c r="J1084" s="4">
        <v>36</v>
      </c>
      <c r="K1084" s="3" t="s">
        <v>21</v>
      </c>
      <c r="L1084" s="4">
        <v>303732</v>
      </c>
      <c r="M1084" s="1">
        <f>O1084*J1084*K1084</f>
        <v>0</v>
      </c>
      <c r="N1084" s="3"/>
      <c r="O1084" s="2">
        <f>L1084/J1084*(1-K1084)</f>
        <v>8437</v>
      </c>
    </row>
    <row r="1085" ht="14.25">
      <c r="A1085" s="3" t="s">
        <v>437</v>
      </c>
      <c r="B1085" s="3" t="s">
        <v>878</v>
      </c>
      <c r="C1085" s="3" t="s">
        <v>881</v>
      </c>
      <c r="D1085" s="3" t="s">
        <v>17</v>
      </c>
      <c r="E1085" s="3" t="s">
        <v>786</v>
      </c>
      <c r="F1085" s="3" t="s">
        <v>19</v>
      </c>
      <c r="G1085" s="4">
        <v>0</v>
      </c>
      <c r="H1085" s="4">
        <v>6948018</v>
      </c>
      <c r="I1085" s="3" t="s">
        <v>795</v>
      </c>
      <c r="J1085" s="4">
        <v>3</v>
      </c>
      <c r="K1085" s="3" t="s">
        <v>21</v>
      </c>
      <c r="L1085" s="4">
        <v>761418</v>
      </c>
      <c r="M1085" s="1">
        <f>O1085*J1085*K1085</f>
        <v>0</v>
      </c>
      <c r="N1085" s="3"/>
      <c r="O1085" s="2">
        <f>L1085/J1085*(1-K1085)</f>
        <v>253806</v>
      </c>
    </row>
    <row r="1086" ht="14.25">
      <c r="A1086" s="3" t="s">
        <v>437</v>
      </c>
      <c r="B1086" s="3" t="s">
        <v>878</v>
      </c>
      <c r="C1086" s="3" t="s">
        <v>881</v>
      </c>
      <c r="D1086" s="3" t="s">
        <v>17</v>
      </c>
      <c r="E1086" s="3" t="s">
        <v>786</v>
      </c>
      <c r="F1086" s="3" t="s">
        <v>19</v>
      </c>
      <c r="G1086" s="4">
        <v>0</v>
      </c>
      <c r="H1086" s="4">
        <v>6948018</v>
      </c>
      <c r="I1086" s="3" t="s">
        <v>188</v>
      </c>
      <c r="J1086" s="4">
        <v>12</v>
      </c>
      <c r="K1086" s="3" t="s">
        <v>21</v>
      </c>
      <c r="L1086" s="4">
        <v>3049200</v>
      </c>
      <c r="M1086" s="1">
        <f>O1086*J1086*K1086</f>
        <v>0</v>
      </c>
      <c r="N1086" s="3"/>
      <c r="O1086" s="2">
        <f>L1086/J1086*(1-K1086)</f>
        <v>254100</v>
      </c>
    </row>
    <row r="1087" ht="14.25">
      <c r="A1087" s="3" t="s">
        <v>437</v>
      </c>
      <c r="B1087" s="3" t="s">
        <v>878</v>
      </c>
      <c r="C1087" s="3" t="s">
        <v>881</v>
      </c>
      <c r="D1087" s="3" t="s">
        <v>17</v>
      </c>
      <c r="E1087" s="3" t="s">
        <v>786</v>
      </c>
      <c r="F1087" s="3" t="s">
        <v>19</v>
      </c>
      <c r="G1087" s="4">
        <v>0</v>
      </c>
      <c r="H1087" s="4">
        <v>6948018</v>
      </c>
      <c r="I1087" s="3" t="s">
        <v>882</v>
      </c>
      <c r="J1087" s="4">
        <v>4</v>
      </c>
      <c r="K1087" s="3" t="s">
        <v>21</v>
      </c>
      <c r="L1087" s="4">
        <v>663600</v>
      </c>
      <c r="M1087" s="1">
        <f>O1087*J1087*K1087</f>
        <v>0</v>
      </c>
      <c r="N1087" s="3"/>
      <c r="O1087" s="2">
        <f>L1087/J1087*(1-K1087)</f>
        <v>165900</v>
      </c>
    </row>
    <row r="1088" ht="14.25">
      <c r="A1088" s="3" t="s">
        <v>437</v>
      </c>
      <c r="B1088" s="3" t="s">
        <v>878</v>
      </c>
      <c r="C1088" s="3" t="s">
        <v>881</v>
      </c>
      <c r="D1088" s="3" t="s">
        <v>17</v>
      </c>
      <c r="E1088" s="3" t="s">
        <v>786</v>
      </c>
      <c r="F1088" s="3" t="s">
        <v>19</v>
      </c>
      <c r="G1088" s="4">
        <v>0</v>
      </c>
      <c r="H1088" s="4">
        <v>6948018</v>
      </c>
      <c r="I1088" s="3" t="s">
        <v>663</v>
      </c>
      <c r="J1088" s="4">
        <v>12</v>
      </c>
      <c r="K1088" s="3" t="s">
        <v>21</v>
      </c>
      <c r="L1088" s="4">
        <v>793800</v>
      </c>
      <c r="M1088" s="1">
        <f>O1088*J1088*K1088</f>
        <v>0</v>
      </c>
      <c r="N1088" s="3"/>
      <c r="O1088" s="2">
        <f>L1088/J1088*(1-K1088)</f>
        <v>66150</v>
      </c>
    </row>
    <row r="1089" ht="14.25">
      <c r="A1089" s="3" t="s">
        <v>437</v>
      </c>
      <c r="B1089" s="3" t="s">
        <v>878</v>
      </c>
      <c r="C1089" s="3" t="s">
        <v>881</v>
      </c>
      <c r="D1089" s="3" t="s">
        <v>17</v>
      </c>
      <c r="E1089" s="3" t="s">
        <v>786</v>
      </c>
      <c r="F1089" s="3" t="s">
        <v>19</v>
      </c>
      <c r="G1089" s="4">
        <v>0</v>
      </c>
      <c r="H1089" s="4">
        <v>6948018</v>
      </c>
      <c r="I1089" s="3" t="s">
        <v>144</v>
      </c>
      <c r="J1089" s="4">
        <v>24</v>
      </c>
      <c r="K1089" s="3" t="s">
        <v>21</v>
      </c>
      <c r="L1089" s="4">
        <v>1680000</v>
      </c>
      <c r="M1089" s="1">
        <f>O1089*J1089*K1089</f>
        <v>0</v>
      </c>
      <c r="N1089" s="3"/>
      <c r="O1089" s="2">
        <f>L1089/J1089*(1-K1089)</f>
        <v>70000</v>
      </c>
    </row>
    <row r="1090" ht="14.25">
      <c r="A1090" s="3" t="s">
        <v>437</v>
      </c>
      <c r="B1090" s="3" t="s">
        <v>437</v>
      </c>
      <c r="C1090" s="3" t="s">
        <v>883</v>
      </c>
      <c r="D1090" s="3" t="s">
        <v>17</v>
      </c>
      <c r="E1090" s="3" t="s">
        <v>293</v>
      </c>
      <c r="F1090" s="3" t="s">
        <v>19</v>
      </c>
      <c r="G1090" s="4">
        <v>0</v>
      </c>
      <c r="H1090" s="4">
        <v>22376016</v>
      </c>
      <c r="I1090" s="3" t="s">
        <v>47</v>
      </c>
      <c r="J1090" s="4">
        <v>120</v>
      </c>
      <c r="K1090" s="3" t="s">
        <v>21</v>
      </c>
      <c r="L1090" s="4">
        <v>3400080</v>
      </c>
      <c r="M1090" s="1">
        <f>O1090*J1090*K1090</f>
        <v>0</v>
      </c>
      <c r="N1090" s="3"/>
      <c r="O1090" s="2">
        <f>L1090/J1090*(1-K1090)</f>
        <v>28334</v>
      </c>
    </row>
    <row r="1091" ht="14.25">
      <c r="A1091" s="3" t="s">
        <v>437</v>
      </c>
      <c r="B1091" s="3" t="s">
        <v>437</v>
      </c>
      <c r="C1091" s="3" t="s">
        <v>883</v>
      </c>
      <c r="D1091" s="3" t="s">
        <v>17</v>
      </c>
      <c r="E1091" s="3" t="s">
        <v>293</v>
      </c>
      <c r="F1091" s="3" t="s">
        <v>19</v>
      </c>
      <c r="G1091" s="4">
        <v>0</v>
      </c>
      <c r="H1091" s="4">
        <v>22376016</v>
      </c>
      <c r="I1091" s="3" t="s">
        <v>45</v>
      </c>
      <c r="J1091" s="4">
        <v>240</v>
      </c>
      <c r="K1091" s="3" t="s">
        <v>21</v>
      </c>
      <c r="L1091" s="4">
        <v>6800160</v>
      </c>
      <c r="M1091" s="1">
        <f>O1091*J1091*K1091</f>
        <v>0</v>
      </c>
      <c r="N1091" s="3"/>
      <c r="O1091" s="2">
        <f>L1091/J1091*(1-K1091)</f>
        <v>28334</v>
      </c>
    </row>
    <row r="1092" ht="14.25">
      <c r="A1092" s="3" t="s">
        <v>437</v>
      </c>
      <c r="B1092" s="3" t="s">
        <v>437</v>
      </c>
      <c r="C1092" s="3" t="s">
        <v>883</v>
      </c>
      <c r="D1092" s="3" t="s">
        <v>17</v>
      </c>
      <c r="E1092" s="3" t="s">
        <v>293</v>
      </c>
      <c r="F1092" s="3" t="s">
        <v>19</v>
      </c>
      <c r="G1092" s="4">
        <v>0</v>
      </c>
      <c r="H1092" s="4">
        <v>22376016</v>
      </c>
      <c r="I1092" s="3" t="s">
        <v>44</v>
      </c>
      <c r="J1092" s="4">
        <v>72</v>
      </c>
      <c r="K1092" s="3" t="s">
        <v>21</v>
      </c>
      <c r="L1092" s="4">
        <v>2040048</v>
      </c>
      <c r="M1092" s="1">
        <f>O1092*J1092*K1092</f>
        <v>0</v>
      </c>
      <c r="N1092" s="3"/>
      <c r="O1092" s="2">
        <f>L1092/J1092*(1-K1092)</f>
        <v>28334</v>
      </c>
    </row>
    <row r="1093" ht="14.25">
      <c r="A1093" s="3" t="s">
        <v>437</v>
      </c>
      <c r="B1093" s="3" t="s">
        <v>437</v>
      </c>
      <c r="C1093" s="3" t="s">
        <v>883</v>
      </c>
      <c r="D1093" s="3" t="s">
        <v>17</v>
      </c>
      <c r="E1093" s="3" t="s">
        <v>293</v>
      </c>
      <c r="F1093" s="3" t="s">
        <v>19</v>
      </c>
      <c r="G1093" s="4">
        <v>0</v>
      </c>
      <c r="H1093" s="4">
        <v>22376016</v>
      </c>
      <c r="I1093" s="3" t="s">
        <v>380</v>
      </c>
      <c r="J1093" s="4">
        <v>24</v>
      </c>
      <c r="K1093" s="3" t="s">
        <v>21</v>
      </c>
      <c r="L1093" s="4">
        <v>680016</v>
      </c>
      <c r="M1093" s="1">
        <f>O1093*J1093*K1093</f>
        <v>0</v>
      </c>
      <c r="N1093" s="3"/>
      <c r="O1093" s="2">
        <f>L1093/J1093*(1-K1093)</f>
        <v>28334</v>
      </c>
    </row>
    <row r="1094" ht="14.25">
      <c r="A1094" s="3" t="s">
        <v>437</v>
      </c>
      <c r="B1094" s="3" t="s">
        <v>437</v>
      </c>
      <c r="C1094" s="3" t="s">
        <v>883</v>
      </c>
      <c r="D1094" s="3" t="s">
        <v>17</v>
      </c>
      <c r="E1094" s="3" t="s">
        <v>293</v>
      </c>
      <c r="F1094" s="3" t="s">
        <v>19</v>
      </c>
      <c r="G1094" s="4">
        <v>0</v>
      </c>
      <c r="H1094" s="4">
        <v>22376016</v>
      </c>
      <c r="I1094" s="3" t="s">
        <v>884</v>
      </c>
      <c r="J1094" s="4">
        <v>96</v>
      </c>
      <c r="K1094" s="3" t="s">
        <v>21</v>
      </c>
      <c r="L1094" s="4">
        <v>2880000</v>
      </c>
      <c r="M1094" s="1">
        <f>O1094*J1094*K1094</f>
        <v>0</v>
      </c>
      <c r="N1094" s="3"/>
      <c r="O1094" s="2">
        <f>L1094/J1094*(1-K1094)</f>
        <v>30000</v>
      </c>
    </row>
    <row r="1095" ht="14.25">
      <c r="A1095" s="3" t="s">
        <v>437</v>
      </c>
      <c r="B1095" s="3" t="s">
        <v>437</v>
      </c>
      <c r="C1095" s="3" t="s">
        <v>883</v>
      </c>
      <c r="D1095" s="3" t="s">
        <v>17</v>
      </c>
      <c r="E1095" s="3" t="s">
        <v>293</v>
      </c>
      <c r="F1095" s="3" t="s">
        <v>19</v>
      </c>
      <c r="G1095" s="4">
        <v>0</v>
      </c>
      <c r="H1095" s="4">
        <v>22376016</v>
      </c>
      <c r="I1095" s="3" t="s">
        <v>419</v>
      </c>
      <c r="J1095" s="4">
        <v>48</v>
      </c>
      <c r="K1095" s="3" t="s">
        <v>21</v>
      </c>
      <c r="L1095" s="4">
        <v>1440000</v>
      </c>
      <c r="M1095" s="1">
        <f>O1095*J1095*K1095</f>
        <v>0</v>
      </c>
      <c r="N1095" s="3"/>
      <c r="O1095" s="2">
        <f>L1095/J1095*(1-K1095)</f>
        <v>30000</v>
      </c>
    </row>
    <row r="1096" ht="14.25">
      <c r="A1096" s="3" t="s">
        <v>437</v>
      </c>
      <c r="B1096" s="3" t="s">
        <v>437</v>
      </c>
      <c r="C1096" s="3" t="s">
        <v>883</v>
      </c>
      <c r="D1096" s="3" t="s">
        <v>17</v>
      </c>
      <c r="E1096" s="3" t="s">
        <v>293</v>
      </c>
      <c r="F1096" s="3" t="s">
        <v>19</v>
      </c>
      <c r="G1096" s="4">
        <v>0</v>
      </c>
      <c r="H1096" s="4">
        <v>22376016</v>
      </c>
      <c r="I1096" s="3" t="s">
        <v>885</v>
      </c>
      <c r="J1096" s="4">
        <v>24</v>
      </c>
      <c r="K1096" s="3" t="s">
        <v>21</v>
      </c>
      <c r="L1096" s="4">
        <v>820008</v>
      </c>
      <c r="M1096" s="1">
        <f>O1096*J1096*K1096</f>
        <v>0</v>
      </c>
      <c r="N1096" s="3"/>
      <c r="O1096" s="2">
        <f>L1096/J1096*(1-K1096)</f>
        <v>34167</v>
      </c>
    </row>
    <row r="1097" ht="14.25">
      <c r="A1097" s="3" t="s">
        <v>437</v>
      </c>
      <c r="B1097" s="3" t="s">
        <v>437</v>
      </c>
      <c r="C1097" s="3" t="s">
        <v>883</v>
      </c>
      <c r="D1097" s="3" t="s">
        <v>17</v>
      </c>
      <c r="E1097" s="3" t="s">
        <v>293</v>
      </c>
      <c r="F1097" s="3" t="s">
        <v>19</v>
      </c>
      <c r="G1097" s="4">
        <v>0</v>
      </c>
      <c r="H1097" s="4">
        <v>22376016</v>
      </c>
      <c r="I1097" s="3" t="s">
        <v>181</v>
      </c>
      <c r="J1097" s="4">
        <v>30</v>
      </c>
      <c r="K1097" s="3" t="s">
        <v>853</v>
      </c>
      <c r="L1097" s="4">
        <v>1155000</v>
      </c>
      <c r="M1097" s="1">
        <f>O1097*J1097*K1097</f>
        <v>65142</v>
      </c>
      <c r="N1097" s="3"/>
      <c r="O1097" s="2">
        <f>L1097/J1097*(1-K1097)</f>
        <v>36190</v>
      </c>
    </row>
    <row r="1098" ht="14.25">
      <c r="A1098" s="3" t="s">
        <v>437</v>
      </c>
      <c r="B1098" s="3" t="s">
        <v>437</v>
      </c>
      <c r="C1098" s="3" t="s">
        <v>883</v>
      </c>
      <c r="D1098" s="3" t="s">
        <v>17</v>
      </c>
      <c r="E1098" s="3" t="s">
        <v>293</v>
      </c>
      <c r="F1098" s="3" t="s">
        <v>19</v>
      </c>
      <c r="G1098" s="4">
        <v>0</v>
      </c>
      <c r="H1098" s="4">
        <v>22376016</v>
      </c>
      <c r="I1098" s="3" t="s">
        <v>484</v>
      </c>
      <c r="J1098" s="4">
        <v>12</v>
      </c>
      <c r="K1098" s="3" t="s">
        <v>21</v>
      </c>
      <c r="L1098" s="4">
        <v>440004</v>
      </c>
      <c r="M1098" s="1">
        <f>O1098*J1098*K1098</f>
        <v>0</v>
      </c>
      <c r="N1098" s="3"/>
      <c r="O1098" s="2">
        <f>L1098/J1098*(1-K1098)</f>
        <v>36667</v>
      </c>
    </row>
    <row r="1099" ht="14.25">
      <c r="A1099" s="3" t="s">
        <v>437</v>
      </c>
      <c r="B1099" s="3" t="s">
        <v>437</v>
      </c>
      <c r="C1099" s="3" t="s">
        <v>883</v>
      </c>
      <c r="D1099" s="3" t="s">
        <v>17</v>
      </c>
      <c r="E1099" s="3" t="s">
        <v>293</v>
      </c>
      <c r="F1099" s="3" t="s">
        <v>19</v>
      </c>
      <c r="G1099" s="4">
        <v>0</v>
      </c>
      <c r="H1099" s="4">
        <v>22376016</v>
      </c>
      <c r="I1099" s="3" t="s">
        <v>415</v>
      </c>
      <c r="J1099" s="4">
        <v>30</v>
      </c>
      <c r="K1099" s="3" t="s">
        <v>21</v>
      </c>
      <c r="L1099" s="4">
        <v>1050000</v>
      </c>
      <c r="M1099" s="1">
        <f>O1099*J1099*K1099</f>
        <v>0</v>
      </c>
      <c r="N1099" s="3"/>
      <c r="O1099" s="2">
        <f>L1099/J1099*(1-K1099)</f>
        <v>35000</v>
      </c>
    </row>
    <row r="1100" ht="14.25">
      <c r="A1100" s="3" t="s">
        <v>437</v>
      </c>
      <c r="B1100" s="3" t="s">
        <v>437</v>
      </c>
      <c r="C1100" s="3" t="s">
        <v>883</v>
      </c>
      <c r="D1100" s="3" t="s">
        <v>17</v>
      </c>
      <c r="E1100" s="3" t="s">
        <v>293</v>
      </c>
      <c r="F1100" s="3" t="s">
        <v>19</v>
      </c>
      <c r="G1100" s="4">
        <v>0</v>
      </c>
      <c r="H1100" s="4">
        <v>22376016</v>
      </c>
      <c r="I1100" s="3" t="s">
        <v>886</v>
      </c>
      <c r="J1100" s="4">
        <v>24</v>
      </c>
      <c r="K1100" s="3" t="s">
        <v>21</v>
      </c>
      <c r="L1100" s="4">
        <v>888000</v>
      </c>
      <c r="M1100" s="1">
        <f>O1100*J1100*K1100</f>
        <v>0</v>
      </c>
      <c r="N1100" s="3"/>
      <c r="O1100" s="2">
        <f>L1100/J1100*(1-K1100)</f>
        <v>37000</v>
      </c>
    </row>
    <row r="1101" ht="14.25">
      <c r="A1101" s="3" t="s">
        <v>437</v>
      </c>
      <c r="B1101" s="3" t="s">
        <v>437</v>
      </c>
      <c r="C1101" s="3" t="s">
        <v>883</v>
      </c>
      <c r="D1101" s="3" t="s">
        <v>17</v>
      </c>
      <c r="E1101" s="3" t="s">
        <v>293</v>
      </c>
      <c r="F1101" s="3" t="s">
        <v>19</v>
      </c>
      <c r="G1101" s="4">
        <v>0</v>
      </c>
      <c r="H1101" s="4">
        <v>22376016</v>
      </c>
      <c r="I1101" s="3" t="s">
        <v>300</v>
      </c>
      <c r="J1101" s="4">
        <v>24</v>
      </c>
      <c r="K1101" s="3" t="s">
        <v>21</v>
      </c>
      <c r="L1101" s="4">
        <v>852000</v>
      </c>
      <c r="M1101" s="1">
        <f>O1101*J1101*K1101</f>
        <v>0</v>
      </c>
      <c r="N1101" s="3"/>
      <c r="O1101" s="2">
        <f>L1101/J1101*(1-K1101)</f>
        <v>35500</v>
      </c>
    </row>
    <row r="1102" ht="14.25">
      <c r="A1102" s="3" t="s">
        <v>437</v>
      </c>
      <c r="B1102" s="3" t="s">
        <v>437</v>
      </c>
      <c r="C1102" s="3" t="s">
        <v>887</v>
      </c>
      <c r="D1102" s="3" t="s">
        <v>17</v>
      </c>
      <c r="E1102" s="3" t="s">
        <v>293</v>
      </c>
      <c r="F1102" s="3" t="s">
        <v>19</v>
      </c>
      <c r="G1102" s="4">
        <v>0</v>
      </c>
      <c r="H1102" s="4">
        <v>8366464</v>
      </c>
      <c r="I1102" s="3" t="s">
        <v>888</v>
      </c>
      <c r="J1102" s="4">
        <v>12</v>
      </c>
      <c r="K1102" s="3" t="s">
        <v>21</v>
      </c>
      <c r="L1102" s="4">
        <v>525600</v>
      </c>
      <c r="M1102" s="1">
        <f>O1102*J1102*K1102</f>
        <v>0</v>
      </c>
      <c r="N1102" s="3"/>
      <c r="O1102" s="2">
        <f>L1102/J1102*(1-K1102)</f>
        <v>43800</v>
      </c>
    </row>
    <row r="1103" ht="14.25">
      <c r="A1103" s="3" t="s">
        <v>437</v>
      </c>
      <c r="B1103" s="3" t="s">
        <v>437</v>
      </c>
      <c r="C1103" s="3" t="s">
        <v>887</v>
      </c>
      <c r="D1103" s="3" t="s">
        <v>17</v>
      </c>
      <c r="E1103" s="3" t="s">
        <v>293</v>
      </c>
      <c r="F1103" s="3" t="s">
        <v>19</v>
      </c>
      <c r="G1103" s="4">
        <v>0</v>
      </c>
      <c r="H1103" s="4">
        <v>8366464</v>
      </c>
      <c r="I1103" s="3" t="s">
        <v>889</v>
      </c>
      <c r="J1103" s="4">
        <v>24</v>
      </c>
      <c r="K1103" s="3" t="s">
        <v>21</v>
      </c>
      <c r="L1103" s="4">
        <v>816000</v>
      </c>
      <c r="M1103" s="1">
        <f>O1103*J1103*K1103</f>
        <v>0</v>
      </c>
      <c r="N1103" s="3"/>
      <c r="O1103" s="2">
        <f>L1103/J1103*(1-K1103)</f>
        <v>34000</v>
      </c>
    </row>
    <row r="1104" ht="14.25">
      <c r="A1104" s="3" t="s">
        <v>437</v>
      </c>
      <c r="B1104" s="3" t="s">
        <v>437</v>
      </c>
      <c r="C1104" s="3" t="s">
        <v>887</v>
      </c>
      <c r="D1104" s="3" t="s">
        <v>17</v>
      </c>
      <c r="E1104" s="3" t="s">
        <v>293</v>
      </c>
      <c r="F1104" s="3" t="s">
        <v>19</v>
      </c>
      <c r="G1104" s="4">
        <v>0</v>
      </c>
      <c r="H1104" s="4">
        <v>8366464</v>
      </c>
      <c r="I1104" s="3" t="s">
        <v>424</v>
      </c>
      <c r="J1104" s="4">
        <v>96</v>
      </c>
      <c r="K1104" s="3" t="s">
        <v>21</v>
      </c>
      <c r="L1104" s="4">
        <v>2520000</v>
      </c>
      <c r="M1104" s="1">
        <f>O1104*J1104*K1104</f>
        <v>0</v>
      </c>
      <c r="N1104" s="3"/>
      <c r="O1104" s="2">
        <f>L1104/J1104*(1-K1104)</f>
        <v>26250</v>
      </c>
    </row>
    <row r="1105" ht="14.25">
      <c r="A1105" s="3" t="s">
        <v>437</v>
      </c>
      <c r="B1105" s="3" t="s">
        <v>437</v>
      </c>
      <c r="C1105" s="3" t="s">
        <v>887</v>
      </c>
      <c r="D1105" s="3" t="s">
        <v>17</v>
      </c>
      <c r="E1105" s="3" t="s">
        <v>293</v>
      </c>
      <c r="F1105" s="3" t="s">
        <v>19</v>
      </c>
      <c r="G1105" s="4">
        <v>0</v>
      </c>
      <c r="H1105" s="4">
        <v>8366464</v>
      </c>
      <c r="I1105" s="3" t="s">
        <v>295</v>
      </c>
      <c r="J1105" s="4">
        <v>24</v>
      </c>
      <c r="K1105" s="3" t="s">
        <v>21</v>
      </c>
      <c r="L1105" s="4">
        <v>800016</v>
      </c>
      <c r="M1105" s="1">
        <f>O1105*J1105*K1105</f>
        <v>0</v>
      </c>
      <c r="N1105" s="3"/>
      <c r="O1105" s="2">
        <f>L1105/J1105*(1-K1105)</f>
        <v>33334</v>
      </c>
    </row>
    <row r="1106" ht="14.25">
      <c r="A1106" s="3" t="s">
        <v>437</v>
      </c>
      <c r="B1106" s="3" t="s">
        <v>437</v>
      </c>
      <c r="C1106" s="3" t="s">
        <v>887</v>
      </c>
      <c r="D1106" s="3" t="s">
        <v>17</v>
      </c>
      <c r="E1106" s="3" t="s">
        <v>293</v>
      </c>
      <c r="F1106" s="3" t="s">
        <v>19</v>
      </c>
      <c r="G1106" s="4">
        <v>0</v>
      </c>
      <c r="H1106" s="4">
        <v>8366464</v>
      </c>
      <c r="I1106" s="3" t="s">
        <v>161</v>
      </c>
      <c r="J1106" s="4">
        <v>96</v>
      </c>
      <c r="K1106" s="3" t="s">
        <v>21</v>
      </c>
      <c r="L1106" s="4">
        <v>576000</v>
      </c>
      <c r="M1106" s="1">
        <f>O1106*J1106*K1106</f>
        <v>0</v>
      </c>
      <c r="N1106" s="3"/>
      <c r="O1106" s="2">
        <f>L1106/J1106*(1-K1106)</f>
        <v>6000</v>
      </c>
    </row>
    <row r="1107" ht="14.25">
      <c r="A1107" s="3" t="s">
        <v>437</v>
      </c>
      <c r="B1107" s="3" t="s">
        <v>437</v>
      </c>
      <c r="C1107" s="3" t="s">
        <v>887</v>
      </c>
      <c r="D1107" s="3" t="s">
        <v>17</v>
      </c>
      <c r="E1107" s="3" t="s">
        <v>293</v>
      </c>
      <c r="F1107" s="3" t="s">
        <v>19</v>
      </c>
      <c r="G1107" s="4">
        <v>0</v>
      </c>
      <c r="H1107" s="4">
        <v>8366464</v>
      </c>
      <c r="I1107" s="3" t="s">
        <v>116</v>
      </c>
      <c r="J1107" s="4">
        <v>48</v>
      </c>
      <c r="K1107" s="3" t="s">
        <v>21</v>
      </c>
      <c r="L1107" s="4">
        <v>316800</v>
      </c>
      <c r="M1107" s="1">
        <f>O1107*J1107*K1107</f>
        <v>0</v>
      </c>
      <c r="N1107" s="3"/>
      <c r="O1107" s="2">
        <f>L1107/J1107*(1-K1107)</f>
        <v>6600</v>
      </c>
    </row>
    <row r="1108" ht="14.25">
      <c r="A1108" s="3" t="s">
        <v>437</v>
      </c>
      <c r="B1108" s="3" t="s">
        <v>437</v>
      </c>
      <c r="C1108" s="3" t="s">
        <v>887</v>
      </c>
      <c r="D1108" s="3" t="s">
        <v>17</v>
      </c>
      <c r="E1108" s="3" t="s">
        <v>293</v>
      </c>
      <c r="F1108" s="3" t="s">
        <v>19</v>
      </c>
      <c r="G1108" s="4">
        <v>0</v>
      </c>
      <c r="H1108" s="4">
        <v>8366464</v>
      </c>
      <c r="I1108" s="3" t="s">
        <v>281</v>
      </c>
      <c r="J1108" s="4">
        <v>96</v>
      </c>
      <c r="K1108" s="3" t="s">
        <v>21</v>
      </c>
      <c r="L1108" s="4">
        <v>870048</v>
      </c>
      <c r="M1108" s="1">
        <f>O1108*J1108*K1108</f>
        <v>0</v>
      </c>
      <c r="N1108" s="3"/>
      <c r="O1108" s="2">
        <f>L1108/J1108*(1-K1108)</f>
        <v>9063</v>
      </c>
    </row>
    <row r="1109" ht="14.25">
      <c r="A1109" s="3" t="s">
        <v>437</v>
      </c>
      <c r="B1109" s="3" t="s">
        <v>437</v>
      </c>
      <c r="C1109" s="3" t="s">
        <v>887</v>
      </c>
      <c r="D1109" s="3" t="s">
        <v>17</v>
      </c>
      <c r="E1109" s="3" t="s">
        <v>293</v>
      </c>
      <c r="F1109" s="3" t="s">
        <v>19</v>
      </c>
      <c r="G1109" s="4">
        <v>0</v>
      </c>
      <c r="H1109" s="4">
        <v>8366464</v>
      </c>
      <c r="I1109" s="3" t="s">
        <v>131</v>
      </c>
      <c r="J1109" s="4">
        <v>20</v>
      </c>
      <c r="K1109" s="3" t="s">
        <v>21</v>
      </c>
      <c r="L1109" s="4">
        <v>94000</v>
      </c>
      <c r="M1109" s="1">
        <f>O1109*J1109*K1109</f>
        <v>0</v>
      </c>
      <c r="N1109" s="3"/>
      <c r="O1109" s="2">
        <f>L1109/J1109*(1-K1109)</f>
        <v>4700</v>
      </c>
    </row>
    <row r="1110" ht="14.25">
      <c r="A1110" s="3" t="s">
        <v>437</v>
      </c>
      <c r="B1110" s="3" t="s">
        <v>437</v>
      </c>
      <c r="C1110" s="3" t="s">
        <v>887</v>
      </c>
      <c r="D1110" s="3" t="s">
        <v>17</v>
      </c>
      <c r="E1110" s="3" t="s">
        <v>293</v>
      </c>
      <c r="F1110" s="3" t="s">
        <v>19</v>
      </c>
      <c r="G1110" s="4">
        <v>0</v>
      </c>
      <c r="H1110" s="4">
        <v>8366464</v>
      </c>
      <c r="I1110" s="3" t="s">
        <v>130</v>
      </c>
      <c r="J1110" s="4">
        <v>20</v>
      </c>
      <c r="K1110" s="3" t="s">
        <v>21</v>
      </c>
      <c r="L1110" s="4">
        <v>96000</v>
      </c>
      <c r="M1110" s="1">
        <f>O1110*J1110*K1110</f>
        <v>0</v>
      </c>
      <c r="N1110" s="3"/>
      <c r="O1110" s="2">
        <f>L1110/J1110*(1-K1110)</f>
        <v>4800</v>
      </c>
    </row>
    <row r="1111" ht="14.25">
      <c r="A1111" s="3" t="s">
        <v>437</v>
      </c>
      <c r="B1111" s="3" t="s">
        <v>437</v>
      </c>
      <c r="C1111" s="3" t="s">
        <v>887</v>
      </c>
      <c r="D1111" s="3" t="s">
        <v>17</v>
      </c>
      <c r="E1111" s="3" t="s">
        <v>293</v>
      </c>
      <c r="F1111" s="3" t="s">
        <v>19</v>
      </c>
      <c r="G1111" s="4">
        <v>0</v>
      </c>
      <c r="H1111" s="4">
        <v>8366464</v>
      </c>
      <c r="I1111" s="3" t="s">
        <v>32</v>
      </c>
      <c r="J1111" s="4">
        <v>24</v>
      </c>
      <c r="K1111" s="3" t="s">
        <v>21</v>
      </c>
      <c r="L1111" s="4">
        <v>612000</v>
      </c>
      <c r="M1111" s="1">
        <f>O1111*J1111*K1111</f>
        <v>0</v>
      </c>
      <c r="N1111" s="3"/>
      <c r="O1111" s="2">
        <f>L1111/J1111*(1-K1111)</f>
        <v>25500</v>
      </c>
    </row>
    <row r="1112" ht="14.25">
      <c r="A1112" s="3" t="s">
        <v>437</v>
      </c>
      <c r="B1112" s="3" t="s">
        <v>437</v>
      </c>
      <c r="C1112" s="3" t="s">
        <v>887</v>
      </c>
      <c r="D1112" s="3" t="s">
        <v>17</v>
      </c>
      <c r="E1112" s="3" t="s">
        <v>293</v>
      </c>
      <c r="F1112" s="3" t="s">
        <v>19</v>
      </c>
      <c r="G1112" s="4">
        <v>0</v>
      </c>
      <c r="H1112" s="4">
        <v>8366464</v>
      </c>
      <c r="I1112" s="3" t="s">
        <v>294</v>
      </c>
      <c r="J1112" s="4">
        <v>6</v>
      </c>
      <c r="K1112" s="3" t="s">
        <v>21</v>
      </c>
      <c r="L1112" s="4">
        <v>1140000</v>
      </c>
      <c r="M1112" s="1">
        <f>O1112*J1112*K1112</f>
        <v>0</v>
      </c>
      <c r="N1112" s="3"/>
      <c r="O1112" s="2">
        <f>L1112/J1112*(1-K1112)</f>
        <v>190000</v>
      </c>
    </row>
    <row r="1113" ht="14.25">
      <c r="A1113" s="3" t="s">
        <v>437</v>
      </c>
      <c r="B1113" s="3" t="s">
        <v>552</v>
      </c>
      <c r="C1113" s="3" t="s">
        <v>890</v>
      </c>
      <c r="D1113" s="3" t="s">
        <v>17</v>
      </c>
      <c r="E1113" s="3" t="s">
        <v>34</v>
      </c>
      <c r="F1113" s="3" t="s">
        <v>19</v>
      </c>
      <c r="G1113" s="4">
        <v>0</v>
      </c>
      <c r="H1113" s="4">
        <v>31825512</v>
      </c>
      <c r="I1113" s="3" t="s">
        <v>39</v>
      </c>
      <c r="J1113" s="4">
        <v>5</v>
      </c>
      <c r="K1113" s="3" t="s">
        <v>21</v>
      </c>
      <c r="L1113" s="4">
        <v>16500000</v>
      </c>
      <c r="M1113" s="1">
        <f>O1113*J1113*K1113</f>
        <v>0</v>
      </c>
      <c r="N1113" s="3"/>
      <c r="O1113" s="2">
        <f>L1113/J1113*(1-K1113)</f>
        <v>3300000</v>
      </c>
    </row>
    <row r="1114" ht="14.25">
      <c r="A1114" s="3" t="s">
        <v>437</v>
      </c>
      <c r="B1114" s="3" t="s">
        <v>552</v>
      </c>
      <c r="C1114" s="3" t="s">
        <v>890</v>
      </c>
      <c r="D1114" s="3" t="s">
        <v>17</v>
      </c>
      <c r="E1114" s="3" t="s">
        <v>34</v>
      </c>
      <c r="F1114" s="3" t="s">
        <v>19</v>
      </c>
      <c r="G1114" s="4">
        <v>0</v>
      </c>
      <c r="H1114" s="4">
        <v>31825512</v>
      </c>
      <c r="I1114" s="3" t="s">
        <v>121</v>
      </c>
      <c r="J1114" s="4">
        <v>2</v>
      </c>
      <c r="K1114" s="3" t="s">
        <v>21</v>
      </c>
      <c r="L1114" s="4">
        <v>6800000</v>
      </c>
      <c r="M1114" s="1">
        <f>O1114*J1114*K1114</f>
        <v>0</v>
      </c>
      <c r="N1114" s="3"/>
      <c r="O1114" s="2">
        <f>L1114/J1114*(1-K1114)</f>
        <v>3400000</v>
      </c>
    </row>
    <row r="1115" ht="14.25">
      <c r="A1115" s="3" t="s">
        <v>437</v>
      </c>
      <c r="B1115" s="3" t="s">
        <v>552</v>
      </c>
      <c r="C1115" s="3" t="s">
        <v>890</v>
      </c>
      <c r="D1115" s="3" t="s">
        <v>17</v>
      </c>
      <c r="E1115" s="3" t="s">
        <v>34</v>
      </c>
      <c r="F1115" s="3" t="s">
        <v>19</v>
      </c>
      <c r="G1115" s="4">
        <v>0</v>
      </c>
      <c r="H1115" s="4">
        <v>31825512</v>
      </c>
      <c r="I1115" s="3" t="s">
        <v>415</v>
      </c>
      <c r="J1115" s="4">
        <v>12</v>
      </c>
      <c r="K1115" s="3" t="s">
        <v>21</v>
      </c>
      <c r="L1115" s="4">
        <v>432000</v>
      </c>
      <c r="M1115" s="1">
        <f>O1115*J1115*K1115</f>
        <v>0</v>
      </c>
      <c r="N1115" s="3"/>
      <c r="O1115" s="2">
        <f>L1115/J1115*(1-K1115)</f>
        <v>36000</v>
      </c>
    </row>
    <row r="1116" ht="14.25">
      <c r="A1116" s="3" t="s">
        <v>437</v>
      </c>
      <c r="B1116" s="3" t="s">
        <v>552</v>
      </c>
      <c r="C1116" s="3" t="s">
        <v>890</v>
      </c>
      <c r="D1116" s="3" t="s">
        <v>17</v>
      </c>
      <c r="E1116" s="3" t="s">
        <v>34</v>
      </c>
      <c r="F1116" s="3" t="s">
        <v>19</v>
      </c>
      <c r="G1116" s="4">
        <v>0</v>
      </c>
      <c r="H1116" s="4">
        <v>31825512</v>
      </c>
      <c r="I1116" s="3" t="s">
        <v>38</v>
      </c>
      <c r="J1116" s="4">
        <v>12</v>
      </c>
      <c r="K1116" s="3" t="s">
        <v>275</v>
      </c>
      <c r="L1116" s="4">
        <v>2031600</v>
      </c>
      <c r="M1116" s="1">
        <f>O1116*J1116*K1116</f>
        <v>149525.76000000001</v>
      </c>
      <c r="N1116" s="3"/>
      <c r="O1116" s="2">
        <f>L1116/J1116*(1-K1116)</f>
        <v>155756</v>
      </c>
    </row>
    <row r="1117" ht="14.25">
      <c r="A1117" s="3" t="s">
        <v>437</v>
      </c>
      <c r="B1117" s="3" t="s">
        <v>552</v>
      </c>
      <c r="C1117" s="3" t="s">
        <v>890</v>
      </c>
      <c r="D1117" s="3" t="s">
        <v>17</v>
      </c>
      <c r="E1117" s="3" t="s">
        <v>34</v>
      </c>
      <c r="F1117" s="3" t="s">
        <v>19</v>
      </c>
      <c r="G1117" s="4">
        <v>0</v>
      </c>
      <c r="H1117" s="4">
        <v>31825512</v>
      </c>
      <c r="I1117" s="3" t="s">
        <v>126</v>
      </c>
      <c r="J1117" s="4">
        <v>4</v>
      </c>
      <c r="K1117" s="3" t="s">
        <v>21</v>
      </c>
      <c r="L1117" s="4">
        <v>940440</v>
      </c>
      <c r="M1117" s="1">
        <f>O1117*J1117*K1117</f>
        <v>0</v>
      </c>
      <c r="N1117" s="3"/>
      <c r="O1117" s="2">
        <f>L1117/J1117*(1-K1117)</f>
        <v>235110</v>
      </c>
    </row>
    <row r="1118" ht="14.25">
      <c r="A1118" s="3" t="s">
        <v>437</v>
      </c>
      <c r="B1118" s="3" t="s">
        <v>552</v>
      </c>
      <c r="C1118" s="3" t="s">
        <v>890</v>
      </c>
      <c r="D1118" s="3" t="s">
        <v>17</v>
      </c>
      <c r="E1118" s="3" t="s">
        <v>34</v>
      </c>
      <c r="F1118" s="3" t="s">
        <v>19</v>
      </c>
      <c r="G1118" s="4">
        <v>0</v>
      </c>
      <c r="H1118" s="4">
        <v>31825512</v>
      </c>
      <c r="I1118" s="3" t="s">
        <v>44</v>
      </c>
      <c r="J1118" s="4">
        <v>24</v>
      </c>
      <c r="K1118" s="3" t="s">
        <v>21</v>
      </c>
      <c r="L1118" s="4">
        <v>720000</v>
      </c>
      <c r="M1118" s="1">
        <f>O1118*J1118*K1118</f>
        <v>0</v>
      </c>
      <c r="N1118" s="3"/>
      <c r="O1118" s="2">
        <f>L1118/J1118*(1-K1118)</f>
        <v>30000</v>
      </c>
    </row>
    <row r="1119" ht="14.25">
      <c r="A1119" s="3" t="s">
        <v>437</v>
      </c>
      <c r="B1119" s="3" t="s">
        <v>552</v>
      </c>
      <c r="C1119" s="3" t="s">
        <v>890</v>
      </c>
      <c r="D1119" s="3" t="s">
        <v>17</v>
      </c>
      <c r="E1119" s="3" t="s">
        <v>34</v>
      </c>
      <c r="F1119" s="3" t="s">
        <v>19</v>
      </c>
      <c r="G1119" s="4">
        <v>0</v>
      </c>
      <c r="H1119" s="4">
        <v>31825512</v>
      </c>
      <c r="I1119" s="3" t="s">
        <v>47</v>
      </c>
      <c r="J1119" s="4">
        <v>24</v>
      </c>
      <c r="K1119" s="3" t="s">
        <v>21</v>
      </c>
      <c r="L1119" s="4">
        <v>804000</v>
      </c>
      <c r="M1119" s="1">
        <f>O1119*J1119*K1119</f>
        <v>0</v>
      </c>
      <c r="N1119" s="3"/>
      <c r="O1119" s="2">
        <f>L1119/J1119*(1-K1119)</f>
        <v>33500</v>
      </c>
    </row>
    <row r="1120" ht="14.25">
      <c r="A1120" s="3" t="s">
        <v>437</v>
      </c>
      <c r="B1120" s="3" t="s">
        <v>552</v>
      </c>
      <c r="C1120" s="3" t="s">
        <v>890</v>
      </c>
      <c r="D1120" s="3" t="s">
        <v>17</v>
      </c>
      <c r="E1120" s="3" t="s">
        <v>34</v>
      </c>
      <c r="F1120" s="3" t="s">
        <v>19</v>
      </c>
      <c r="G1120" s="4">
        <v>0</v>
      </c>
      <c r="H1120" s="4">
        <v>31825512</v>
      </c>
      <c r="I1120" s="3" t="s">
        <v>891</v>
      </c>
      <c r="J1120" s="4">
        <v>1</v>
      </c>
      <c r="K1120" s="3" t="s">
        <v>21</v>
      </c>
      <c r="L1120" s="4">
        <v>3760000</v>
      </c>
      <c r="M1120" s="1">
        <f>O1120*J1120*K1120</f>
        <v>0</v>
      </c>
      <c r="N1120" s="3"/>
      <c r="O1120" s="2">
        <f>L1120/J1120*(1-K1120)</f>
        <v>3760000</v>
      </c>
    </row>
    <row r="1121" ht="14.25">
      <c r="A1121" s="3" t="s">
        <v>487</v>
      </c>
      <c r="B1121" s="3" t="s">
        <v>487</v>
      </c>
      <c r="C1121" s="3" t="s">
        <v>892</v>
      </c>
      <c r="D1121" s="3" t="s">
        <v>17</v>
      </c>
      <c r="E1121" s="3" t="s">
        <v>153</v>
      </c>
      <c r="F1121" s="3" t="s">
        <v>19</v>
      </c>
      <c r="G1121" s="4">
        <v>0</v>
      </c>
      <c r="H1121" s="4">
        <v>7500000</v>
      </c>
      <c r="I1121" s="3" t="s">
        <v>678</v>
      </c>
      <c r="J1121" s="4">
        <v>1</v>
      </c>
      <c r="K1121" s="3" t="s">
        <v>21</v>
      </c>
      <c r="L1121" s="4">
        <v>7500000</v>
      </c>
      <c r="M1121" s="1">
        <f>O1121*J1121*K1121</f>
        <v>0</v>
      </c>
      <c r="N1121" s="3"/>
      <c r="O1121" s="2">
        <f>L1121/J1121*(1-K1121)</f>
        <v>7500000</v>
      </c>
    </row>
    <row r="1122" ht="14.25">
      <c r="A1122" s="3" t="s">
        <v>487</v>
      </c>
      <c r="B1122" s="3" t="s">
        <v>893</v>
      </c>
      <c r="C1122" s="3" t="s">
        <v>894</v>
      </c>
      <c r="D1122" s="3" t="s">
        <v>159</v>
      </c>
      <c r="E1122" s="3" t="s">
        <v>895</v>
      </c>
      <c r="F1122" s="3" t="s">
        <v>19</v>
      </c>
      <c r="G1122" s="4">
        <v>1500000</v>
      </c>
      <c r="H1122" s="4">
        <v>6500000</v>
      </c>
      <c r="I1122" s="3" t="s">
        <v>541</v>
      </c>
      <c r="J1122" s="4">
        <v>1</v>
      </c>
      <c r="K1122" s="3" t="s">
        <v>21</v>
      </c>
      <c r="L1122" s="4">
        <v>6500000</v>
      </c>
      <c r="M1122" s="1">
        <f>O1122*J1122*K1122</f>
        <v>0</v>
      </c>
      <c r="N1122" s="3"/>
      <c r="O1122" s="2">
        <f>L1122/J1122*(1-K1122)</f>
        <v>6500000</v>
      </c>
    </row>
    <row r="1123" ht="14.25">
      <c r="A1123" s="3" t="s">
        <v>487</v>
      </c>
      <c r="B1123" s="3" t="s">
        <v>487</v>
      </c>
      <c r="C1123" s="3" t="s">
        <v>896</v>
      </c>
      <c r="D1123" s="3" t="s">
        <v>17</v>
      </c>
      <c r="E1123" s="3" t="s">
        <v>897</v>
      </c>
      <c r="F1123" s="3" t="s">
        <v>19</v>
      </c>
      <c r="G1123" s="4">
        <v>0</v>
      </c>
      <c r="H1123" s="4">
        <v>600000</v>
      </c>
      <c r="I1123" s="3" t="s">
        <v>29</v>
      </c>
      <c r="J1123" s="4">
        <v>1</v>
      </c>
      <c r="K1123" s="3" t="s">
        <v>21</v>
      </c>
      <c r="L1123" s="4">
        <v>600000</v>
      </c>
      <c r="M1123" s="1">
        <f>O1123*J1123*K1123</f>
        <v>0</v>
      </c>
      <c r="N1123" s="3"/>
      <c r="O1123" s="2">
        <f>L1123/J1123*(1-K1123)</f>
        <v>600000</v>
      </c>
    </row>
    <row r="1124" ht="14.25">
      <c r="A1124" s="3" t="s">
        <v>898</v>
      </c>
      <c r="B1124" s="3" t="s">
        <v>899</v>
      </c>
      <c r="C1124" s="3" t="s">
        <v>900</v>
      </c>
      <c r="D1124" s="3" t="s">
        <v>17</v>
      </c>
      <c r="E1124" s="3" t="s">
        <v>34</v>
      </c>
      <c r="F1124" s="3" t="s">
        <v>19</v>
      </c>
      <c r="G1124" s="4">
        <v>0</v>
      </c>
      <c r="H1124" s="4">
        <v>23808826</v>
      </c>
      <c r="I1124" s="3" t="s">
        <v>39</v>
      </c>
      <c r="J1124" s="4">
        <v>4</v>
      </c>
      <c r="K1124" s="3" t="s">
        <v>21</v>
      </c>
      <c r="L1124" s="4">
        <v>13200000</v>
      </c>
      <c r="M1124" s="1">
        <f>O1124*J1124*K1124</f>
        <v>0</v>
      </c>
      <c r="N1124" s="3"/>
      <c r="O1124" s="2">
        <f>L1124/J1124*(1-K1124)</f>
        <v>3300000</v>
      </c>
    </row>
    <row r="1125" ht="14.25">
      <c r="A1125" s="3" t="s">
        <v>898</v>
      </c>
      <c r="B1125" s="3" t="s">
        <v>899</v>
      </c>
      <c r="C1125" s="3" t="s">
        <v>900</v>
      </c>
      <c r="D1125" s="3" t="s">
        <v>17</v>
      </c>
      <c r="E1125" s="3" t="s">
        <v>34</v>
      </c>
      <c r="F1125" s="3" t="s">
        <v>19</v>
      </c>
      <c r="G1125" s="4">
        <v>0</v>
      </c>
      <c r="H1125" s="4">
        <v>23808826</v>
      </c>
      <c r="I1125" s="3" t="s">
        <v>121</v>
      </c>
      <c r="J1125" s="4">
        <v>1</v>
      </c>
      <c r="K1125" s="3" t="s">
        <v>21</v>
      </c>
      <c r="L1125" s="4">
        <v>3300000</v>
      </c>
      <c r="M1125" s="1">
        <f>O1125*J1125*K1125</f>
        <v>0</v>
      </c>
      <c r="N1125" s="3"/>
      <c r="O1125" s="2">
        <f>L1125/J1125*(1-K1125)</f>
        <v>3300000</v>
      </c>
    </row>
    <row r="1126" ht="14.25">
      <c r="A1126" s="3" t="s">
        <v>898</v>
      </c>
      <c r="B1126" s="3" t="s">
        <v>899</v>
      </c>
      <c r="C1126" s="3" t="s">
        <v>900</v>
      </c>
      <c r="D1126" s="3" t="s">
        <v>17</v>
      </c>
      <c r="E1126" s="3" t="s">
        <v>34</v>
      </c>
      <c r="F1126" s="3" t="s">
        <v>19</v>
      </c>
      <c r="G1126" s="4">
        <v>0</v>
      </c>
      <c r="H1126" s="4">
        <v>23808826</v>
      </c>
      <c r="I1126" s="3" t="s">
        <v>844</v>
      </c>
      <c r="J1126" s="4">
        <v>3</v>
      </c>
      <c r="K1126" s="3" t="s">
        <v>21</v>
      </c>
      <c r="L1126" s="4">
        <v>1860000</v>
      </c>
      <c r="M1126" s="1">
        <f>O1126*J1126*K1126</f>
        <v>0</v>
      </c>
      <c r="N1126" s="3"/>
      <c r="O1126" s="2">
        <f>L1126/J1126*(1-K1126)</f>
        <v>620000</v>
      </c>
    </row>
    <row r="1127" ht="14.25">
      <c r="A1127" s="3" t="s">
        <v>898</v>
      </c>
      <c r="B1127" s="3" t="s">
        <v>899</v>
      </c>
      <c r="C1127" s="3" t="s">
        <v>900</v>
      </c>
      <c r="D1127" s="3" t="s">
        <v>17</v>
      </c>
      <c r="E1127" s="3" t="s">
        <v>34</v>
      </c>
      <c r="F1127" s="3" t="s">
        <v>19</v>
      </c>
      <c r="G1127" s="4">
        <v>0</v>
      </c>
      <c r="H1127" s="4">
        <v>23808826</v>
      </c>
      <c r="I1127" s="3" t="s">
        <v>420</v>
      </c>
      <c r="J1127" s="4">
        <v>2</v>
      </c>
      <c r="K1127" s="3" t="s">
        <v>21</v>
      </c>
      <c r="L1127" s="4">
        <v>1300000</v>
      </c>
      <c r="M1127" s="1">
        <f>O1127*J1127*K1127</f>
        <v>0</v>
      </c>
      <c r="N1127" s="3"/>
      <c r="O1127" s="2">
        <f>L1127/J1127*(1-K1127)</f>
        <v>650000</v>
      </c>
    </row>
    <row r="1128" ht="14.25">
      <c r="A1128" s="3" t="s">
        <v>898</v>
      </c>
      <c r="B1128" s="3" t="s">
        <v>899</v>
      </c>
      <c r="C1128" s="3" t="s">
        <v>900</v>
      </c>
      <c r="D1128" s="3" t="s">
        <v>17</v>
      </c>
      <c r="E1128" s="3" t="s">
        <v>34</v>
      </c>
      <c r="F1128" s="3" t="s">
        <v>19</v>
      </c>
      <c r="G1128" s="4">
        <v>0</v>
      </c>
      <c r="H1128" s="4">
        <v>23808826</v>
      </c>
      <c r="I1128" s="3" t="s">
        <v>795</v>
      </c>
      <c r="J1128" s="4">
        <v>9</v>
      </c>
      <c r="K1128" s="3" t="s">
        <v>21</v>
      </c>
      <c r="L1128" s="4">
        <v>2218986</v>
      </c>
      <c r="M1128" s="1">
        <f>O1128*J1128*K1128</f>
        <v>0</v>
      </c>
      <c r="N1128" s="3"/>
      <c r="O1128" s="2">
        <f>L1128/J1128*(1-K1128)</f>
        <v>246554</v>
      </c>
    </row>
    <row r="1129" ht="14.25">
      <c r="A1129" s="3" t="s">
        <v>898</v>
      </c>
      <c r="B1129" s="3" t="s">
        <v>899</v>
      </c>
      <c r="C1129" s="3" t="s">
        <v>900</v>
      </c>
      <c r="D1129" s="3" t="s">
        <v>17</v>
      </c>
      <c r="E1129" s="3" t="s">
        <v>34</v>
      </c>
      <c r="F1129" s="3" t="s">
        <v>19</v>
      </c>
      <c r="G1129" s="4">
        <v>0</v>
      </c>
      <c r="H1129" s="4">
        <v>23808826</v>
      </c>
      <c r="I1129" s="3" t="s">
        <v>482</v>
      </c>
      <c r="J1129" s="4">
        <v>12</v>
      </c>
      <c r="K1129" s="3" t="s">
        <v>21</v>
      </c>
      <c r="L1129" s="4">
        <v>618120</v>
      </c>
      <c r="M1129" s="1">
        <f>O1129*J1129*K1129</f>
        <v>0</v>
      </c>
      <c r="N1129" s="3"/>
      <c r="O1129" s="2">
        <f>L1129/J1129*(1-K1129)</f>
        <v>51510</v>
      </c>
    </row>
    <row r="1130" ht="14.25">
      <c r="A1130" s="3" t="s">
        <v>898</v>
      </c>
      <c r="B1130" s="3" t="s">
        <v>899</v>
      </c>
      <c r="C1130" s="3" t="s">
        <v>900</v>
      </c>
      <c r="D1130" s="3" t="s">
        <v>17</v>
      </c>
      <c r="E1130" s="3" t="s">
        <v>34</v>
      </c>
      <c r="F1130" s="3" t="s">
        <v>19</v>
      </c>
      <c r="G1130" s="4">
        <v>0</v>
      </c>
      <c r="H1130" s="4">
        <v>23808826</v>
      </c>
      <c r="I1130" s="3" t="s">
        <v>182</v>
      </c>
      <c r="J1130" s="4">
        <v>4</v>
      </c>
      <c r="K1130" s="3" t="s">
        <v>21</v>
      </c>
      <c r="L1130" s="4">
        <v>1311720</v>
      </c>
      <c r="M1130" s="1">
        <f>O1130*J1130*K1130</f>
        <v>0</v>
      </c>
      <c r="N1130" s="3"/>
      <c r="O1130" s="2">
        <f>L1130/J1130*(1-K1130)</f>
        <v>327930</v>
      </c>
    </row>
    <row r="1131" ht="14.25">
      <c r="A1131" s="3" t="s">
        <v>898</v>
      </c>
      <c r="B1131" s="3" t="s">
        <v>898</v>
      </c>
      <c r="C1131" s="3" t="s">
        <v>901</v>
      </c>
      <c r="D1131" s="3" t="s">
        <v>17</v>
      </c>
      <c r="E1131" s="3" t="s">
        <v>252</v>
      </c>
      <c r="F1131" s="3" t="s">
        <v>19</v>
      </c>
      <c r="G1131" s="4">
        <v>0</v>
      </c>
      <c r="H1131" s="4">
        <v>3700000</v>
      </c>
      <c r="I1131" s="3" t="s">
        <v>82</v>
      </c>
      <c r="J1131" s="4">
        <v>1</v>
      </c>
      <c r="K1131" s="3" t="s">
        <v>21</v>
      </c>
      <c r="L1131" s="4">
        <v>3700000</v>
      </c>
      <c r="M1131" s="1">
        <f>O1131*J1131*K1131</f>
        <v>0</v>
      </c>
      <c r="N1131" s="3"/>
      <c r="O1131" s="2">
        <f>L1131/J1131*(1-K1131)</f>
        <v>3700000</v>
      </c>
    </row>
    <row r="1132" ht="14.25">
      <c r="A1132" s="3" t="s">
        <v>898</v>
      </c>
      <c r="B1132" s="3" t="s">
        <v>898</v>
      </c>
      <c r="C1132" s="3" t="s">
        <v>902</v>
      </c>
      <c r="D1132" s="3" t="s">
        <v>17</v>
      </c>
      <c r="E1132" s="3" t="s">
        <v>782</v>
      </c>
      <c r="F1132" s="3" t="s">
        <v>19</v>
      </c>
      <c r="G1132" s="4">
        <v>0</v>
      </c>
      <c r="H1132" s="4">
        <v>0</v>
      </c>
      <c r="I1132" s="3" t="s">
        <v>39</v>
      </c>
      <c r="J1132" s="4">
        <v>1</v>
      </c>
      <c r="K1132" s="3" t="s">
        <v>21</v>
      </c>
      <c r="L1132" s="4">
        <v>0</v>
      </c>
      <c r="M1132" s="1">
        <f>O1132*J1132*K1132</f>
        <v>0</v>
      </c>
      <c r="N1132" s="3"/>
      <c r="O1132" s="2">
        <f>L1132/J1132*(1-K1132)</f>
        <v>0</v>
      </c>
    </row>
    <row r="1133" ht="14.25">
      <c r="A1133" s="3" t="s">
        <v>898</v>
      </c>
      <c r="B1133" s="3" t="s">
        <v>898</v>
      </c>
      <c r="C1133" s="3" t="s">
        <v>902</v>
      </c>
      <c r="D1133" s="3" t="s">
        <v>17</v>
      </c>
      <c r="E1133" s="3" t="s">
        <v>782</v>
      </c>
      <c r="F1133" s="3" t="s">
        <v>19</v>
      </c>
      <c r="G1133" s="4">
        <v>0</v>
      </c>
      <c r="H1133" s="4">
        <v>0</v>
      </c>
      <c r="I1133" s="3" t="s">
        <v>150</v>
      </c>
      <c r="J1133" s="4">
        <v>6</v>
      </c>
      <c r="K1133" s="3" t="s">
        <v>21</v>
      </c>
      <c r="L1133" s="4">
        <v>0</v>
      </c>
      <c r="M1133" s="1">
        <f>O1133*J1133*K1133</f>
        <v>0</v>
      </c>
      <c r="N1133" s="3"/>
      <c r="O1133" s="2">
        <f>L1133/J1133*(1-K1133)</f>
        <v>0</v>
      </c>
    </row>
    <row r="1134" ht="14.25">
      <c r="A1134" s="3" t="s">
        <v>898</v>
      </c>
      <c r="B1134" s="3" t="s">
        <v>898</v>
      </c>
      <c r="C1134" s="3" t="s">
        <v>902</v>
      </c>
      <c r="D1134" s="3" t="s">
        <v>17</v>
      </c>
      <c r="E1134" s="3" t="s">
        <v>782</v>
      </c>
      <c r="F1134" s="3" t="s">
        <v>19</v>
      </c>
      <c r="G1134" s="4">
        <v>0</v>
      </c>
      <c r="H1134" s="4">
        <v>0</v>
      </c>
      <c r="I1134" s="3" t="s">
        <v>90</v>
      </c>
      <c r="J1134" s="4">
        <v>4</v>
      </c>
      <c r="K1134" s="3" t="s">
        <v>21</v>
      </c>
      <c r="L1134" s="4">
        <v>0</v>
      </c>
      <c r="M1134" s="1">
        <f>O1134*J1134*K1134</f>
        <v>0</v>
      </c>
      <c r="N1134" s="3"/>
      <c r="O1134" s="2">
        <f>L1134/J1134*(1-K1134)</f>
        <v>0</v>
      </c>
    </row>
    <row r="1135" ht="14.25">
      <c r="A1135" s="3" t="s">
        <v>514</v>
      </c>
      <c r="B1135" s="3" t="s">
        <v>903</v>
      </c>
      <c r="C1135" s="3" t="s">
        <v>904</v>
      </c>
      <c r="D1135" s="3" t="s">
        <v>17</v>
      </c>
      <c r="E1135" s="3" t="s">
        <v>439</v>
      </c>
      <c r="F1135" s="3" t="s">
        <v>19</v>
      </c>
      <c r="G1135" s="4">
        <v>0</v>
      </c>
      <c r="H1135" s="4">
        <v>3700000</v>
      </c>
      <c r="I1135" s="3" t="s">
        <v>121</v>
      </c>
      <c r="J1135" s="4">
        <v>1</v>
      </c>
      <c r="K1135" s="3" t="s">
        <v>21</v>
      </c>
      <c r="L1135" s="4">
        <v>3700000</v>
      </c>
      <c r="M1135" s="1">
        <f>O1135*J1135*K1135</f>
        <v>0</v>
      </c>
      <c r="N1135" s="3"/>
      <c r="O1135" s="2">
        <f>L1135/J1135*(1-K1135)</f>
        <v>3700000</v>
      </c>
    </row>
    <row r="1136" ht="14.25">
      <c r="A1136" s="3" t="s">
        <v>514</v>
      </c>
      <c r="B1136" s="3" t="s">
        <v>602</v>
      </c>
      <c r="C1136" s="3" t="s">
        <v>905</v>
      </c>
      <c r="D1136" s="3" t="s">
        <v>17</v>
      </c>
      <c r="E1136" s="3" t="s">
        <v>906</v>
      </c>
      <c r="F1136" s="3" t="s">
        <v>19</v>
      </c>
      <c r="G1136" s="4">
        <v>0</v>
      </c>
      <c r="H1136" s="4">
        <v>3600000</v>
      </c>
      <c r="I1136" s="3" t="s">
        <v>121</v>
      </c>
      <c r="J1136" s="4">
        <v>1</v>
      </c>
      <c r="K1136" s="3" t="s">
        <v>21</v>
      </c>
      <c r="L1136" s="4">
        <v>3600000</v>
      </c>
      <c r="M1136" s="1">
        <f>O1136*J1136*K1136</f>
        <v>0</v>
      </c>
      <c r="N1136" s="3"/>
      <c r="O1136" s="2">
        <f>L1136/J1136*(1-K1136)</f>
        <v>3600000</v>
      </c>
    </row>
    <row r="1137" ht="14.25">
      <c r="A1137" s="3" t="s">
        <v>514</v>
      </c>
      <c r="B1137" s="3" t="s">
        <v>514</v>
      </c>
      <c r="C1137" s="3" t="s">
        <v>907</v>
      </c>
      <c r="D1137" s="3" t="s">
        <v>17</v>
      </c>
      <c r="E1137" s="3" t="s">
        <v>214</v>
      </c>
      <c r="F1137" s="3" t="s">
        <v>19</v>
      </c>
      <c r="G1137" s="4">
        <v>0</v>
      </c>
      <c r="H1137" s="4">
        <v>151975000</v>
      </c>
      <c r="I1137" s="3" t="s">
        <v>67</v>
      </c>
      <c r="J1137" s="4">
        <v>300</v>
      </c>
      <c r="K1137" s="3" t="s">
        <v>21</v>
      </c>
      <c r="L1137" s="4">
        <v>104250000</v>
      </c>
      <c r="M1137" s="1">
        <f>O1137*J1137*K1137</f>
        <v>0</v>
      </c>
      <c r="N1137" s="3"/>
      <c r="O1137" s="2">
        <f>L1137/J1137*(1-K1137)</f>
        <v>347500</v>
      </c>
    </row>
    <row r="1138" ht="14.25">
      <c r="A1138" s="3" t="s">
        <v>514</v>
      </c>
      <c r="B1138" s="3" t="s">
        <v>514</v>
      </c>
      <c r="C1138" s="3" t="s">
        <v>907</v>
      </c>
      <c r="D1138" s="3" t="s">
        <v>17</v>
      </c>
      <c r="E1138" s="3" t="s">
        <v>214</v>
      </c>
      <c r="F1138" s="3" t="s">
        <v>19</v>
      </c>
      <c r="G1138" s="4">
        <v>0</v>
      </c>
      <c r="H1138" s="4">
        <v>151975000</v>
      </c>
      <c r="I1138" s="3" t="s">
        <v>66</v>
      </c>
      <c r="J1138" s="4">
        <v>70</v>
      </c>
      <c r="K1138" s="3" t="s">
        <v>21</v>
      </c>
      <c r="L1138" s="4">
        <v>27825000</v>
      </c>
      <c r="M1138" s="1">
        <f>O1138*J1138*K1138</f>
        <v>0</v>
      </c>
      <c r="N1138" s="3"/>
      <c r="O1138" s="2">
        <f>L1138/J1138*(1-K1138)</f>
        <v>397500</v>
      </c>
    </row>
    <row r="1139" ht="14.25">
      <c r="A1139" s="3" t="s">
        <v>514</v>
      </c>
      <c r="B1139" s="3" t="s">
        <v>514</v>
      </c>
      <c r="C1139" s="3" t="s">
        <v>907</v>
      </c>
      <c r="D1139" s="3" t="s">
        <v>17</v>
      </c>
      <c r="E1139" s="3" t="s">
        <v>214</v>
      </c>
      <c r="F1139" s="3" t="s">
        <v>19</v>
      </c>
      <c r="G1139" s="4">
        <v>0</v>
      </c>
      <c r="H1139" s="4">
        <v>151975000</v>
      </c>
      <c r="I1139" s="3" t="s">
        <v>617</v>
      </c>
      <c r="J1139" s="4">
        <v>30</v>
      </c>
      <c r="K1139" s="3" t="s">
        <v>21</v>
      </c>
      <c r="L1139" s="4">
        <v>11925000</v>
      </c>
      <c r="M1139" s="1">
        <f>O1139*J1139*K1139</f>
        <v>0</v>
      </c>
      <c r="N1139" s="3"/>
      <c r="O1139" s="2">
        <f>L1139/J1139*(1-K1139)</f>
        <v>397500</v>
      </c>
    </row>
    <row r="1140" ht="14.25">
      <c r="A1140" s="3" t="s">
        <v>514</v>
      </c>
      <c r="B1140" s="3" t="s">
        <v>514</v>
      </c>
      <c r="C1140" s="3" t="s">
        <v>907</v>
      </c>
      <c r="D1140" s="3" t="s">
        <v>17</v>
      </c>
      <c r="E1140" s="3" t="s">
        <v>214</v>
      </c>
      <c r="F1140" s="3" t="s">
        <v>19</v>
      </c>
      <c r="G1140" s="4">
        <v>0</v>
      </c>
      <c r="H1140" s="4">
        <v>151975000</v>
      </c>
      <c r="I1140" s="3" t="s">
        <v>908</v>
      </c>
      <c r="J1140" s="4">
        <v>150</v>
      </c>
      <c r="K1140" s="3" t="s">
        <v>21</v>
      </c>
      <c r="L1140" s="4">
        <v>8475000</v>
      </c>
      <c r="M1140" s="1">
        <f>O1140*J1140*K1140</f>
        <v>0</v>
      </c>
      <c r="N1140" s="3"/>
      <c r="O1140" s="2">
        <f>L1140/J1140*(1-K1140)</f>
        <v>56500</v>
      </c>
    </row>
    <row r="1141" ht="14.25">
      <c r="A1141" s="3" t="s">
        <v>514</v>
      </c>
      <c r="B1141" s="3" t="s">
        <v>903</v>
      </c>
      <c r="C1141" s="3" t="s">
        <v>909</v>
      </c>
      <c r="D1141" s="3" t="s">
        <v>17</v>
      </c>
      <c r="E1141" s="3" t="s">
        <v>910</v>
      </c>
      <c r="F1141" s="3" t="s">
        <v>19</v>
      </c>
      <c r="G1141" s="4">
        <v>0</v>
      </c>
      <c r="H1141" s="4">
        <v>4160000</v>
      </c>
      <c r="I1141" s="3" t="s">
        <v>39</v>
      </c>
      <c r="J1141" s="4">
        <v>1</v>
      </c>
      <c r="K1141" s="3" t="s">
        <v>21</v>
      </c>
      <c r="L1141" s="4">
        <v>3800000</v>
      </c>
      <c r="M1141" s="1">
        <f>O1141*J1141*K1141</f>
        <v>0</v>
      </c>
      <c r="N1141" s="3"/>
      <c r="O1141" s="2">
        <f>L1141/J1141*(1-K1141)</f>
        <v>3800000</v>
      </c>
    </row>
    <row r="1142" ht="14.25">
      <c r="A1142" s="3" t="s">
        <v>514</v>
      </c>
      <c r="B1142" s="3" t="s">
        <v>903</v>
      </c>
      <c r="C1142" s="3" t="s">
        <v>909</v>
      </c>
      <c r="D1142" s="3" t="s">
        <v>17</v>
      </c>
      <c r="E1142" s="3" t="s">
        <v>910</v>
      </c>
      <c r="F1142" s="3" t="s">
        <v>19</v>
      </c>
      <c r="G1142" s="4">
        <v>0</v>
      </c>
      <c r="H1142" s="4">
        <v>4160000</v>
      </c>
      <c r="I1142" s="3" t="s">
        <v>37</v>
      </c>
      <c r="J1142" s="4">
        <v>12</v>
      </c>
      <c r="K1142" s="3" t="s">
        <v>21</v>
      </c>
      <c r="L1142" s="4">
        <v>360000</v>
      </c>
      <c r="M1142" s="1">
        <f>O1142*J1142*K1142</f>
        <v>0</v>
      </c>
      <c r="N1142" s="3"/>
      <c r="O1142" s="2">
        <f>L1142/J1142*(1-K1142)</f>
        <v>30000</v>
      </c>
    </row>
    <row r="1143" ht="14.25">
      <c r="A1143" s="3" t="s">
        <v>514</v>
      </c>
      <c r="B1143" s="3" t="s">
        <v>903</v>
      </c>
      <c r="C1143" s="3" t="s">
        <v>911</v>
      </c>
      <c r="D1143" s="3" t="s">
        <v>17</v>
      </c>
      <c r="E1143" s="3" t="s">
        <v>912</v>
      </c>
      <c r="F1143" s="3" t="s">
        <v>19</v>
      </c>
      <c r="G1143" s="4">
        <v>0</v>
      </c>
      <c r="H1143" s="4">
        <v>1362912</v>
      </c>
      <c r="I1143" s="3" t="s">
        <v>471</v>
      </c>
      <c r="J1143" s="4">
        <v>96</v>
      </c>
      <c r="K1143" s="3" t="s">
        <v>21</v>
      </c>
      <c r="L1143" s="4">
        <v>401952</v>
      </c>
      <c r="M1143" s="1">
        <f>O1143*J1143*K1143</f>
        <v>0</v>
      </c>
      <c r="N1143" s="3"/>
      <c r="O1143" s="2">
        <f>L1143/J1143*(1-K1143)</f>
        <v>4187</v>
      </c>
    </row>
    <row r="1144" ht="14.25">
      <c r="A1144" s="3" t="s">
        <v>514</v>
      </c>
      <c r="B1144" s="3" t="s">
        <v>903</v>
      </c>
      <c r="C1144" s="3" t="s">
        <v>911</v>
      </c>
      <c r="D1144" s="3" t="s">
        <v>17</v>
      </c>
      <c r="E1144" s="3" t="s">
        <v>912</v>
      </c>
      <c r="F1144" s="3" t="s">
        <v>19</v>
      </c>
      <c r="G1144" s="4">
        <v>0</v>
      </c>
      <c r="H1144" s="4">
        <v>1362912</v>
      </c>
      <c r="I1144" s="3" t="s">
        <v>166</v>
      </c>
      <c r="J1144" s="4">
        <v>24</v>
      </c>
      <c r="K1144" s="3" t="s">
        <v>21</v>
      </c>
      <c r="L1144" s="4">
        <v>336960</v>
      </c>
      <c r="M1144" s="1">
        <f>O1144*J1144*K1144</f>
        <v>0</v>
      </c>
      <c r="N1144" s="3"/>
      <c r="O1144" s="2">
        <f>L1144/J1144*(1-K1144)</f>
        <v>14040</v>
      </c>
    </row>
    <row r="1145" ht="14.25">
      <c r="A1145" s="3" t="s">
        <v>514</v>
      </c>
      <c r="B1145" s="3" t="s">
        <v>903</v>
      </c>
      <c r="C1145" s="3" t="s">
        <v>911</v>
      </c>
      <c r="D1145" s="3" t="s">
        <v>17</v>
      </c>
      <c r="E1145" s="3" t="s">
        <v>912</v>
      </c>
      <c r="F1145" s="3" t="s">
        <v>19</v>
      </c>
      <c r="G1145" s="4">
        <v>0</v>
      </c>
      <c r="H1145" s="4">
        <v>1362912</v>
      </c>
      <c r="I1145" s="3" t="s">
        <v>108</v>
      </c>
      <c r="J1145" s="4">
        <v>24</v>
      </c>
      <c r="K1145" s="3" t="s">
        <v>21</v>
      </c>
      <c r="L1145" s="4">
        <v>624000</v>
      </c>
      <c r="M1145" s="1">
        <f>O1145*J1145*K1145</f>
        <v>0</v>
      </c>
      <c r="N1145" s="3"/>
      <c r="O1145" s="2">
        <f>L1145/J1145*(1-K1145)</f>
        <v>26000</v>
      </c>
    </row>
    <row r="1146" ht="14.25">
      <c r="A1146" s="3" t="s">
        <v>514</v>
      </c>
      <c r="B1146" s="3" t="s">
        <v>514</v>
      </c>
      <c r="C1146" s="3" t="s">
        <v>913</v>
      </c>
      <c r="D1146" s="3" t="s">
        <v>17</v>
      </c>
      <c r="E1146" s="3" t="s">
        <v>914</v>
      </c>
      <c r="F1146" s="3" t="s">
        <v>19</v>
      </c>
      <c r="G1146" s="4">
        <v>0</v>
      </c>
      <c r="H1146" s="4">
        <v>997040</v>
      </c>
      <c r="I1146" s="3" t="s">
        <v>188</v>
      </c>
      <c r="J1146" s="4">
        <v>4</v>
      </c>
      <c r="K1146" s="3" t="s">
        <v>21</v>
      </c>
      <c r="L1146" s="4">
        <v>997040</v>
      </c>
      <c r="M1146" s="1">
        <f>O1146*J1146*K1146</f>
        <v>0</v>
      </c>
      <c r="N1146" s="3"/>
      <c r="O1146" s="2">
        <f>L1146/J1146*(1-K1146)</f>
        <v>249260</v>
      </c>
    </row>
    <row r="1147" ht="14.25">
      <c r="A1147" s="3" t="s">
        <v>514</v>
      </c>
      <c r="B1147" s="3" t="s">
        <v>903</v>
      </c>
      <c r="C1147" s="3" t="s">
        <v>915</v>
      </c>
      <c r="D1147" s="3" t="s">
        <v>17</v>
      </c>
      <c r="E1147" s="3" t="s">
        <v>916</v>
      </c>
      <c r="F1147" s="3" t="s">
        <v>19</v>
      </c>
      <c r="G1147" s="4">
        <v>0</v>
      </c>
      <c r="H1147" s="4">
        <v>4500000</v>
      </c>
      <c r="I1147" s="3" t="s">
        <v>917</v>
      </c>
      <c r="J1147" s="4">
        <v>1</v>
      </c>
      <c r="K1147" s="3" t="s">
        <v>21</v>
      </c>
      <c r="L1147" s="4">
        <v>4500000</v>
      </c>
      <c r="M1147" s="1">
        <f>O1147*J1147*K1147</f>
        <v>0</v>
      </c>
      <c r="N1147" s="3"/>
      <c r="O1147" s="2">
        <f>L1147/J1147*(1-K1147)</f>
        <v>4500000</v>
      </c>
    </row>
    <row r="1148" ht="14.25">
      <c r="A1148" s="3" t="s">
        <v>514</v>
      </c>
      <c r="B1148" s="3" t="s">
        <v>903</v>
      </c>
      <c r="C1148" s="3" t="s">
        <v>918</v>
      </c>
      <c r="D1148" s="3" t="s">
        <v>17</v>
      </c>
      <c r="E1148" s="3" t="s">
        <v>610</v>
      </c>
      <c r="F1148" s="3" t="s">
        <v>19</v>
      </c>
      <c r="G1148" s="4">
        <v>0</v>
      </c>
      <c r="H1148" s="4">
        <v>17646620</v>
      </c>
      <c r="I1148" s="3" t="s">
        <v>66</v>
      </c>
      <c r="J1148" s="4">
        <v>4</v>
      </c>
      <c r="K1148" s="3" t="s">
        <v>21</v>
      </c>
      <c r="L1148" s="4">
        <v>1675456</v>
      </c>
      <c r="M1148" s="1">
        <f>O1148*J1148*K1148</f>
        <v>0</v>
      </c>
      <c r="N1148" s="3"/>
      <c r="O1148" s="2">
        <f>L1148/J1148*(1-K1148)</f>
        <v>418864</v>
      </c>
    </row>
    <row r="1149" ht="14.25">
      <c r="A1149" s="3" t="s">
        <v>514</v>
      </c>
      <c r="B1149" s="3" t="s">
        <v>903</v>
      </c>
      <c r="C1149" s="3" t="s">
        <v>918</v>
      </c>
      <c r="D1149" s="3" t="s">
        <v>17</v>
      </c>
      <c r="E1149" s="3" t="s">
        <v>610</v>
      </c>
      <c r="F1149" s="3" t="s">
        <v>19</v>
      </c>
      <c r="G1149" s="4">
        <v>0</v>
      </c>
      <c r="H1149" s="4">
        <v>17646620</v>
      </c>
      <c r="I1149" s="3" t="s">
        <v>127</v>
      </c>
      <c r="J1149" s="4">
        <v>6</v>
      </c>
      <c r="K1149" s="3" t="s">
        <v>21</v>
      </c>
      <c r="L1149" s="4">
        <v>1018020</v>
      </c>
      <c r="M1149" s="1">
        <f>O1149*J1149*K1149</f>
        <v>0</v>
      </c>
      <c r="N1149" s="3"/>
      <c r="O1149" s="2">
        <f>L1149/J1149*(1-K1149)</f>
        <v>169670</v>
      </c>
    </row>
    <row r="1150" ht="14.25">
      <c r="A1150" s="3" t="s">
        <v>514</v>
      </c>
      <c r="B1150" s="3" t="s">
        <v>903</v>
      </c>
      <c r="C1150" s="3" t="s">
        <v>918</v>
      </c>
      <c r="D1150" s="3" t="s">
        <v>17</v>
      </c>
      <c r="E1150" s="3" t="s">
        <v>610</v>
      </c>
      <c r="F1150" s="3" t="s">
        <v>19</v>
      </c>
      <c r="G1150" s="4">
        <v>0</v>
      </c>
      <c r="H1150" s="4">
        <v>17646620</v>
      </c>
      <c r="I1150" s="3" t="s">
        <v>187</v>
      </c>
      <c r="J1150" s="4">
        <v>20</v>
      </c>
      <c r="K1150" s="3" t="s">
        <v>21</v>
      </c>
      <c r="L1150" s="4">
        <v>928720</v>
      </c>
      <c r="M1150" s="1">
        <f>O1150*J1150*K1150</f>
        <v>0</v>
      </c>
      <c r="N1150" s="3"/>
      <c r="O1150" s="2">
        <f>L1150/J1150*(1-K1150)</f>
        <v>46436</v>
      </c>
    </row>
    <row r="1151" ht="14.25">
      <c r="A1151" s="3" t="s">
        <v>514</v>
      </c>
      <c r="B1151" s="3" t="s">
        <v>903</v>
      </c>
      <c r="C1151" s="3" t="s">
        <v>918</v>
      </c>
      <c r="D1151" s="3" t="s">
        <v>17</v>
      </c>
      <c r="E1151" s="3" t="s">
        <v>610</v>
      </c>
      <c r="F1151" s="3" t="s">
        <v>19</v>
      </c>
      <c r="G1151" s="4">
        <v>0</v>
      </c>
      <c r="H1151" s="4">
        <v>17646620</v>
      </c>
      <c r="I1151" s="3" t="s">
        <v>54</v>
      </c>
      <c r="J1151" s="4">
        <v>4</v>
      </c>
      <c r="K1151" s="3" t="s">
        <v>21</v>
      </c>
      <c r="L1151" s="4">
        <v>1633344</v>
      </c>
      <c r="M1151" s="1">
        <f>O1151*J1151*K1151</f>
        <v>0</v>
      </c>
      <c r="N1151" s="3"/>
      <c r="O1151" s="2">
        <f>L1151/J1151*(1-K1151)</f>
        <v>408336</v>
      </c>
    </row>
    <row r="1152" ht="14.25">
      <c r="A1152" s="3" t="s">
        <v>514</v>
      </c>
      <c r="B1152" s="3" t="s">
        <v>903</v>
      </c>
      <c r="C1152" s="3" t="s">
        <v>918</v>
      </c>
      <c r="D1152" s="3" t="s">
        <v>17</v>
      </c>
      <c r="E1152" s="3" t="s">
        <v>610</v>
      </c>
      <c r="F1152" s="3" t="s">
        <v>19</v>
      </c>
      <c r="G1152" s="4">
        <v>0</v>
      </c>
      <c r="H1152" s="4">
        <v>17646620</v>
      </c>
      <c r="I1152" s="3" t="s">
        <v>55</v>
      </c>
      <c r="J1152" s="4">
        <v>8</v>
      </c>
      <c r="K1152" s="3" t="s">
        <v>21</v>
      </c>
      <c r="L1152" s="4">
        <v>1659664</v>
      </c>
      <c r="M1152" s="1">
        <f>O1152*J1152*K1152</f>
        <v>0</v>
      </c>
      <c r="N1152" s="3"/>
      <c r="O1152" s="2">
        <f>L1152/J1152*(1-K1152)</f>
        <v>207458</v>
      </c>
    </row>
    <row r="1153" ht="14.25">
      <c r="A1153" s="3" t="s">
        <v>514</v>
      </c>
      <c r="B1153" s="3" t="s">
        <v>903</v>
      </c>
      <c r="C1153" s="3" t="s">
        <v>918</v>
      </c>
      <c r="D1153" s="3" t="s">
        <v>17</v>
      </c>
      <c r="E1153" s="3" t="s">
        <v>610</v>
      </c>
      <c r="F1153" s="3" t="s">
        <v>19</v>
      </c>
      <c r="G1153" s="4">
        <v>0</v>
      </c>
      <c r="H1153" s="4">
        <v>17646620</v>
      </c>
      <c r="I1153" s="3" t="s">
        <v>67</v>
      </c>
      <c r="J1153" s="4">
        <v>4</v>
      </c>
      <c r="K1153" s="3" t="s">
        <v>21</v>
      </c>
      <c r="L1153" s="4">
        <v>1460760</v>
      </c>
      <c r="M1153" s="1">
        <f>O1153*J1153*K1153</f>
        <v>0</v>
      </c>
      <c r="N1153" s="3"/>
      <c r="O1153" s="2">
        <f>L1153/J1153*(1-K1153)</f>
        <v>365190</v>
      </c>
    </row>
    <row r="1154" ht="14.25">
      <c r="A1154" s="3" t="s">
        <v>514</v>
      </c>
      <c r="B1154" s="3" t="s">
        <v>903</v>
      </c>
      <c r="C1154" s="3" t="s">
        <v>918</v>
      </c>
      <c r="D1154" s="3" t="s">
        <v>17</v>
      </c>
      <c r="E1154" s="3" t="s">
        <v>610</v>
      </c>
      <c r="F1154" s="3" t="s">
        <v>19</v>
      </c>
      <c r="G1154" s="4">
        <v>0</v>
      </c>
      <c r="H1154" s="4">
        <v>17646620</v>
      </c>
      <c r="I1154" s="3" t="s">
        <v>36</v>
      </c>
      <c r="J1154" s="4">
        <v>8</v>
      </c>
      <c r="K1154" s="3" t="s">
        <v>21</v>
      </c>
      <c r="L1154" s="4">
        <v>1485200</v>
      </c>
      <c r="M1154" s="1">
        <f>O1154*J1154*K1154</f>
        <v>0</v>
      </c>
      <c r="N1154" s="3"/>
      <c r="O1154" s="2">
        <f>L1154/J1154*(1-K1154)</f>
        <v>185650</v>
      </c>
    </row>
    <row r="1155" ht="14.25">
      <c r="A1155" s="3" t="s">
        <v>514</v>
      </c>
      <c r="B1155" s="3" t="s">
        <v>903</v>
      </c>
      <c r="C1155" s="3" t="s">
        <v>918</v>
      </c>
      <c r="D1155" s="3" t="s">
        <v>17</v>
      </c>
      <c r="E1155" s="3" t="s">
        <v>610</v>
      </c>
      <c r="F1155" s="3" t="s">
        <v>19</v>
      </c>
      <c r="G1155" s="4">
        <v>0</v>
      </c>
      <c r="H1155" s="4">
        <v>17646620</v>
      </c>
      <c r="I1155" s="3" t="s">
        <v>38</v>
      </c>
      <c r="J1155" s="4">
        <v>24</v>
      </c>
      <c r="K1155" s="3" t="s">
        <v>21</v>
      </c>
      <c r="L1155" s="4">
        <v>3819408</v>
      </c>
      <c r="M1155" s="1">
        <f>O1155*J1155*K1155</f>
        <v>0</v>
      </c>
      <c r="N1155" s="3"/>
      <c r="O1155" s="2">
        <f>L1155/J1155*(1-K1155)</f>
        <v>159142</v>
      </c>
    </row>
    <row r="1156" ht="14.25">
      <c r="A1156" s="3" t="s">
        <v>514</v>
      </c>
      <c r="B1156" s="3" t="s">
        <v>903</v>
      </c>
      <c r="C1156" s="3" t="s">
        <v>918</v>
      </c>
      <c r="D1156" s="3" t="s">
        <v>17</v>
      </c>
      <c r="E1156" s="3" t="s">
        <v>610</v>
      </c>
      <c r="F1156" s="3" t="s">
        <v>19</v>
      </c>
      <c r="G1156" s="4">
        <v>0</v>
      </c>
      <c r="H1156" s="4">
        <v>17646620</v>
      </c>
      <c r="I1156" s="3" t="s">
        <v>210</v>
      </c>
      <c r="J1156" s="4">
        <v>18</v>
      </c>
      <c r="K1156" s="3" t="s">
        <v>21</v>
      </c>
      <c r="L1156" s="4">
        <v>768168</v>
      </c>
      <c r="M1156" s="1">
        <f>O1156*J1156*K1156</f>
        <v>0</v>
      </c>
      <c r="N1156" s="3"/>
      <c r="O1156" s="2">
        <f>L1156/J1156*(1-K1156)</f>
        <v>42676</v>
      </c>
    </row>
    <row r="1157" ht="14.25">
      <c r="A1157" s="3" t="s">
        <v>514</v>
      </c>
      <c r="B1157" s="3" t="s">
        <v>903</v>
      </c>
      <c r="C1157" s="3" t="s">
        <v>918</v>
      </c>
      <c r="D1157" s="3" t="s">
        <v>17</v>
      </c>
      <c r="E1157" s="3" t="s">
        <v>610</v>
      </c>
      <c r="F1157" s="3" t="s">
        <v>19</v>
      </c>
      <c r="G1157" s="4">
        <v>0</v>
      </c>
      <c r="H1157" s="4">
        <v>17646620</v>
      </c>
      <c r="I1157" s="3" t="s">
        <v>611</v>
      </c>
      <c r="J1157" s="4">
        <v>6</v>
      </c>
      <c r="K1157" s="3" t="s">
        <v>21</v>
      </c>
      <c r="L1157" s="4">
        <v>944136</v>
      </c>
      <c r="M1157" s="1">
        <f>O1157*J1157*K1157</f>
        <v>0</v>
      </c>
      <c r="N1157" s="3"/>
      <c r="O1157" s="2">
        <f>L1157/J1157*(1-K1157)</f>
        <v>157356</v>
      </c>
    </row>
    <row r="1158" ht="14.25">
      <c r="A1158" s="3" t="s">
        <v>514</v>
      </c>
      <c r="B1158" s="3" t="s">
        <v>903</v>
      </c>
      <c r="C1158" s="3" t="s">
        <v>918</v>
      </c>
      <c r="D1158" s="3" t="s">
        <v>17</v>
      </c>
      <c r="E1158" s="3" t="s">
        <v>610</v>
      </c>
      <c r="F1158" s="3" t="s">
        <v>19</v>
      </c>
      <c r="G1158" s="4">
        <v>0</v>
      </c>
      <c r="H1158" s="4">
        <v>17646620</v>
      </c>
      <c r="I1158" s="3" t="s">
        <v>185</v>
      </c>
      <c r="J1158" s="4">
        <v>6</v>
      </c>
      <c r="K1158" s="3" t="s">
        <v>21</v>
      </c>
      <c r="L1158" s="4">
        <v>1098672</v>
      </c>
      <c r="M1158" s="1">
        <f>O1158*J1158*K1158</f>
        <v>0</v>
      </c>
      <c r="N1158" s="3"/>
      <c r="O1158" s="2">
        <f>L1158/J1158*(1-K1158)</f>
        <v>183112</v>
      </c>
    </row>
    <row r="1159" ht="14.25">
      <c r="A1159" s="3" t="s">
        <v>514</v>
      </c>
      <c r="B1159" s="3" t="s">
        <v>903</v>
      </c>
      <c r="C1159" s="3" t="s">
        <v>918</v>
      </c>
      <c r="D1159" s="3" t="s">
        <v>17</v>
      </c>
      <c r="E1159" s="3" t="s">
        <v>610</v>
      </c>
      <c r="F1159" s="3" t="s">
        <v>19</v>
      </c>
      <c r="G1159" s="4">
        <v>0</v>
      </c>
      <c r="H1159" s="4">
        <v>17646620</v>
      </c>
      <c r="I1159" s="3" t="s">
        <v>452</v>
      </c>
      <c r="J1159" s="4">
        <v>6</v>
      </c>
      <c r="K1159" s="3" t="s">
        <v>21</v>
      </c>
      <c r="L1159" s="4">
        <v>1155072</v>
      </c>
      <c r="M1159" s="1">
        <f>O1159*J1159*K1159</f>
        <v>0</v>
      </c>
      <c r="N1159" s="3"/>
      <c r="O1159" s="2">
        <f>L1159/J1159*(1-K1159)</f>
        <v>192512</v>
      </c>
    </row>
    <row r="1160" ht="14.25">
      <c r="A1160" s="3" t="s">
        <v>514</v>
      </c>
      <c r="B1160" s="3" t="s">
        <v>514</v>
      </c>
      <c r="C1160" s="3" t="s">
        <v>919</v>
      </c>
      <c r="D1160" s="3" t="s">
        <v>17</v>
      </c>
      <c r="E1160" s="3" t="s">
        <v>920</v>
      </c>
      <c r="F1160" s="3" t="s">
        <v>19</v>
      </c>
      <c r="G1160" s="4">
        <v>0</v>
      </c>
      <c r="H1160" s="4">
        <v>1788000</v>
      </c>
      <c r="I1160" s="3" t="s">
        <v>108</v>
      </c>
      <c r="J1160" s="4">
        <v>48</v>
      </c>
      <c r="K1160" s="3" t="s">
        <v>21</v>
      </c>
      <c r="L1160" s="4">
        <v>1200000</v>
      </c>
      <c r="M1160" s="1">
        <f>O1160*J1160*K1160</f>
        <v>0</v>
      </c>
      <c r="N1160" s="3"/>
      <c r="O1160" s="2">
        <f>L1160/J1160*(1-K1160)</f>
        <v>25000</v>
      </c>
    </row>
    <row r="1161" ht="14.25">
      <c r="A1161" s="3" t="s">
        <v>514</v>
      </c>
      <c r="B1161" s="3" t="s">
        <v>514</v>
      </c>
      <c r="C1161" s="3" t="s">
        <v>919</v>
      </c>
      <c r="D1161" s="3" t="s">
        <v>17</v>
      </c>
      <c r="E1161" s="3" t="s">
        <v>920</v>
      </c>
      <c r="F1161" s="3" t="s">
        <v>19</v>
      </c>
      <c r="G1161" s="4">
        <v>0</v>
      </c>
      <c r="H1161" s="4">
        <v>1788000</v>
      </c>
      <c r="I1161" s="3" t="s">
        <v>32</v>
      </c>
      <c r="J1161" s="4">
        <v>24</v>
      </c>
      <c r="K1161" s="3" t="s">
        <v>21</v>
      </c>
      <c r="L1161" s="4">
        <v>588000</v>
      </c>
      <c r="M1161" s="1">
        <f>O1161*J1161*K1161</f>
        <v>0</v>
      </c>
      <c r="N1161" s="3"/>
      <c r="O1161" s="2">
        <f>L1161/J1161*(1-K1161)</f>
        <v>24500</v>
      </c>
    </row>
    <row r="1162" ht="14.25">
      <c r="A1162" s="3" t="s">
        <v>514</v>
      </c>
      <c r="B1162" s="3" t="s">
        <v>514</v>
      </c>
      <c r="C1162" s="3" t="s">
        <v>921</v>
      </c>
      <c r="D1162" s="3" t="s">
        <v>17</v>
      </c>
      <c r="E1162" s="3" t="s">
        <v>252</v>
      </c>
      <c r="F1162" s="3" t="s">
        <v>19</v>
      </c>
      <c r="G1162" s="4">
        <v>0</v>
      </c>
      <c r="H1162" s="4">
        <v>13000000</v>
      </c>
      <c r="I1162" s="3" t="s">
        <v>922</v>
      </c>
      <c r="J1162" s="4">
        <v>2</v>
      </c>
      <c r="K1162" s="3" t="s">
        <v>21</v>
      </c>
      <c r="L1162" s="4">
        <v>13000000</v>
      </c>
      <c r="M1162" s="1">
        <f>O1162*J1162*K1162</f>
        <v>0</v>
      </c>
      <c r="N1162" s="3"/>
      <c r="O1162" s="2">
        <f>L1162/J1162*(1-K1162)</f>
        <v>6500000</v>
      </c>
    </row>
    <row r="1163" ht="14.25">
      <c r="A1163" s="3" t="s">
        <v>514</v>
      </c>
      <c r="B1163" s="3" t="s">
        <v>602</v>
      </c>
      <c r="C1163" s="3" t="s">
        <v>923</v>
      </c>
      <c r="D1163" s="3" t="s">
        <v>17</v>
      </c>
      <c r="E1163" s="3" t="s">
        <v>451</v>
      </c>
      <c r="F1163" s="3" t="s">
        <v>19</v>
      </c>
      <c r="G1163" s="4">
        <v>0</v>
      </c>
      <c r="H1163" s="4">
        <v>28250000</v>
      </c>
      <c r="I1163" s="3" t="s">
        <v>29</v>
      </c>
      <c r="J1163" s="4">
        <v>50</v>
      </c>
      <c r="K1163" s="3" t="s">
        <v>21</v>
      </c>
      <c r="L1163" s="4">
        <v>23250000</v>
      </c>
      <c r="M1163" s="1">
        <f>O1163*J1163*K1163</f>
        <v>0</v>
      </c>
      <c r="N1163" s="3"/>
      <c r="O1163" s="2">
        <f>L1163/J1163*(1-K1163)</f>
        <v>465000</v>
      </c>
    </row>
    <row r="1164" ht="14.25">
      <c r="A1164" s="3" t="s">
        <v>514</v>
      </c>
      <c r="B1164" s="3" t="s">
        <v>602</v>
      </c>
      <c r="C1164" s="3" t="s">
        <v>923</v>
      </c>
      <c r="D1164" s="3" t="s">
        <v>17</v>
      </c>
      <c r="E1164" s="3" t="s">
        <v>451</v>
      </c>
      <c r="F1164" s="3" t="s">
        <v>19</v>
      </c>
      <c r="G1164" s="4">
        <v>0</v>
      </c>
      <c r="H1164" s="4">
        <v>28250000</v>
      </c>
      <c r="I1164" s="3" t="s">
        <v>154</v>
      </c>
      <c r="J1164" s="4">
        <v>1</v>
      </c>
      <c r="K1164" s="3" t="s">
        <v>21</v>
      </c>
      <c r="L1164" s="4">
        <v>5000000</v>
      </c>
      <c r="M1164" s="1">
        <f>O1164*J1164*K1164</f>
        <v>0</v>
      </c>
      <c r="N1164" s="3"/>
      <c r="O1164" s="2">
        <f>L1164/J1164*(1-K1164)</f>
        <v>5000000</v>
      </c>
    </row>
    <row r="1165" ht="14.25">
      <c r="A1165" s="3" t="s">
        <v>514</v>
      </c>
      <c r="B1165" s="3" t="s">
        <v>514</v>
      </c>
      <c r="C1165" s="3" t="s">
        <v>924</v>
      </c>
      <c r="D1165" s="3" t="s">
        <v>17</v>
      </c>
      <c r="E1165" s="3" t="s">
        <v>826</v>
      </c>
      <c r="F1165" s="3" t="s">
        <v>19</v>
      </c>
      <c r="G1165" s="4">
        <v>0</v>
      </c>
      <c r="H1165" s="4">
        <v>4100000</v>
      </c>
      <c r="I1165" s="3" t="s">
        <v>102</v>
      </c>
      <c r="J1165" s="4">
        <v>2</v>
      </c>
      <c r="K1165" s="3" t="s">
        <v>21</v>
      </c>
      <c r="L1165" s="4">
        <v>4100000</v>
      </c>
      <c r="M1165" s="1">
        <f>O1165*J1165*K1165</f>
        <v>0</v>
      </c>
      <c r="N1165" s="3"/>
      <c r="O1165" s="2">
        <f>L1165/J1165*(1-K1165)</f>
        <v>2050000</v>
      </c>
    </row>
    <row r="1166" ht="14.25">
      <c r="A1166" s="3" t="s">
        <v>522</v>
      </c>
      <c r="B1166" s="3" t="s">
        <v>522</v>
      </c>
      <c r="C1166" s="3" t="s">
        <v>925</v>
      </c>
      <c r="D1166" s="3" t="s">
        <v>17</v>
      </c>
      <c r="E1166" s="3" t="s">
        <v>286</v>
      </c>
      <c r="F1166" s="3" t="s">
        <v>19</v>
      </c>
      <c r="G1166" s="4">
        <v>0</v>
      </c>
      <c r="H1166" s="4">
        <v>3600000</v>
      </c>
      <c r="I1166" s="3" t="s">
        <v>35</v>
      </c>
      <c r="J1166" s="4">
        <v>1</v>
      </c>
      <c r="K1166" s="3" t="s">
        <v>21</v>
      </c>
      <c r="L1166" s="4">
        <v>3600000</v>
      </c>
      <c r="M1166" s="1">
        <f>O1166*J1166*K1166</f>
        <v>0</v>
      </c>
      <c r="N1166" s="3"/>
      <c r="O1166" s="2">
        <f>L1166/J1166*(1-K1166)</f>
        <v>3600000</v>
      </c>
    </row>
    <row r="1167" ht="14.25">
      <c r="A1167" s="3" t="s">
        <v>522</v>
      </c>
      <c r="B1167" s="3" t="s">
        <v>926</v>
      </c>
      <c r="C1167" s="3" t="s">
        <v>927</v>
      </c>
      <c r="D1167" s="3" t="s">
        <v>17</v>
      </c>
      <c r="E1167" s="3" t="s">
        <v>928</v>
      </c>
      <c r="F1167" s="3" t="s">
        <v>19</v>
      </c>
      <c r="G1167" s="4">
        <v>0</v>
      </c>
      <c r="H1167" s="4">
        <v>911630</v>
      </c>
      <c r="I1167" s="3" t="s">
        <v>848</v>
      </c>
      <c r="J1167" s="4">
        <v>2</v>
      </c>
      <c r="K1167" s="3" t="s">
        <v>21</v>
      </c>
      <c r="L1167" s="4">
        <v>911630</v>
      </c>
      <c r="M1167" s="1">
        <f>O1167*J1167*K1167</f>
        <v>0</v>
      </c>
      <c r="N1167" s="3"/>
      <c r="O1167" s="2">
        <f>L1167/J1167*(1-K1167)</f>
        <v>455815</v>
      </c>
    </row>
    <row r="1168" ht="14.25">
      <c r="A1168" s="3" t="s">
        <v>522</v>
      </c>
      <c r="B1168" s="3" t="s">
        <v>926</v>
      </c>
      <c r="C1168" s="3" t="s">
        <v>929</v>
      </c>
      <c r="D1168" s="3" t="s">
        <v>17</v>
      </c>
      <c r="E1168" s="3" t="s">
        <v>930</v>
      </c>
      <c r="F1168" s="3" t="s">
        <v>19</v>
      </c>
      <c r="G1168" s="4">
        <v>0</v>
      </c>
      <c r="H1168" s="4">
        <v>3800000</v>
      </c>
      <c r="I1168" s="3" t="s">
        <v>121</v>
      </c>
      <c r="J1168" s="4">
        <v>1</v>
      </c>
      <c r="K1168" s="3" t="s">
        <v>21</v>
      </c>
      <c r="L1168" s="4">
        <v>3800000</v>
      </c>
      <c r="M1168" s="1">
        <f>O1168*J1168*K1168</f>
        <v>0</v>
      </c>
      <c r="N1168" s="3"/>
      <c r="O1168" s="2">
        <f>L1168/J1168*(1-K1168)</f>
        <v>3800000</v>
      </c>
    </row>
    <row r="1169" ht="14.25">
      <c r="A1169" s="3" t="s">
        <v>522</v>
      </c>
      <c r="B1169" s="3" t="s">
        <v>522</v>
      </c>
      <c r="C1169" s="3" t="s">
        <v>931</v>
      </c>
      <c r="D1169" s="3" t="s">
        <v>17</v>
      </c>
      <c r="E1169" s="3" t="s">
        <v>444</v>
      </c>
      <c r="F1169" s="3" t="s">
        <v>19</v>
      </c>
      <c r="G1169" s="4">
        <v>0</v>
      </c>
      <c r="H1169" s="4">
        <v>4900000</v>
      </c>
      <c r="I1169" s="3" t="s">
        <v>29</v>
      </c>
      <c r="J1169" s="4">
        <v>10</v>
      </c>
      <c r="K1169" s="3" t="s">
        <v>21</v>
      </c>
      <c r="L1169" s="4">
        <v>4900000</v>
      </c>
      <c r="M1169" s="1">
        <f>O1169*J1169*K1169</f>
        <v>0</v>
      </c>
      <c r="N1169" s="3"/>
      <c r="O1169" s="2">
        <f>L1169/J1169*(1-K1169)</f>
        <v>490000</v>
      </c>
    </row>
    <row r="1170" ht="14.25">
      <c r="A1170" s="3" t="s">
        <v>522</v>
      </c>
      <c r="B1170" s="3" t="s">
        <v>522</v>
      </c>
      <c r="C1170" s="3" t="s">
        <v>932</v>
      </c>
      <c r="D1170" s="3" t="s">
        <v>17</v>
      </c>
      <c r="E1170" s="3" t="s">
        <v>933</v>
      </c>
      <c r="F1170" s="3" t="s">
        <v>19</v>
      </c>
      <c r="G1170" s="4">
        <v>0</v>
      </c>
      <c r="H1170" s="4">
        <v>1413960</v>
      </c>
      <c r="I1170" s="3" t="s">
        <v>54</v>
      </c>
      <c r="J1170" s="4">
        <v>2</v>
      </c>
      <c r="K1170" s="3" t="s">
        <v>934</v>
      </c>
      <c r="L1170" s="4">
        <v>868800</v>
      </c>
      <c r="M1170" s="1">
        <f>O1170*J1170*K1170</f>
        <v>41268</v>
      </c>
      <c r="N1170" s="3"/>
      <c r="O1170" s="2">
        <f>L1170/J1170*(1-K1170)</f>
        <v>412680</v>
      </c>
    </row>
    <row r="1171" ht="14.25">
      <c r="A1171" s="3" t="s">
        <v>522</v>
      </c>
      <c r="B1171" s="3" t="s">
        <v>522</v>
      </c>
      <c r="C1171" s="3" t="s">
        <v>932</v>
      </c>
      <c r="D1171" s="3" t="s">
        <v>17</v>
      </c>
      <c r="E1171" s="3" t="s">
        <v>933</v>
      </c>
      <c r="F1171" s="3" t="s">
        <v>19</v>
      </c>
      <c r="G1171" s="4">
        <v>0</v>
      </c>
      <c r="H1171" s="4">
        <v>1413960</v>
      </c>
      <c r="I1171" s="3" t="s">
        <v>404</v>
      </c>
      <c r="J1171" s="4">
        <v>1</v>
      </c>
      <c r="K1171" s="3" t="s">
        <v>355</v>
      </c>
      <c r="L1171" s="4">
        <v>654000</v>
      </c>
      <c r="M1171" s="1">
        <f>O1171*J1171*K1171</f>
        <v>58860</v>
      </c>
      <c r="N1171" s="3"/>
      <c r="O1171" s="2">
        <f>L1171/J1171*(1-K1171)</f>
        <v>588600</v>
      </c>
    </row>
    <row r="1172" ht="14.25">
      <c r="A1172" s="3" t="s">
        <v>522</v>
      </c>
      <c r="B1172" s="3" t="s">
        <v>624</v>
      </c>
      <c r="C1172" s="3" t="s">
        <v>935</v>
      </c>
      <c r="D1172" s="3" t="s">
        <v>17</v>
      </c>
      <c r="E1172" s="3" t="s">
        <v>23</v>
      </c>
      <c r="F1172" s="3" t="s">
        <v>19</v>
      </c>
      <c r="G1172" s="4">
        <v>0</v>
      </c>
      <c r="H1172" s="4">
        <v>125000</v>
      </c>
      <c r="I1172" s="3" t="s">
        <v>636</v>
      </c>
      <c r="J1172" s="4">
        <v>1</v>
      </c>
      <c r="K1172" s="3" t="s">
        <v>21</v>
      </c>
      <c r="L1172" s="4">
        <v>125000</v>
      </c>
      <c r="M1172" s="1">
        <f>O1172*J1172*K1172</f>
        <v>0</v>
      </c>
      <c r="N1172" s="3"/>
      <c r="O1172" s="2">
        <f>L1172/J1172*(1-K1172)</f>
        <v>125000</v>
      </c>
    </row>
    <row r="1173" ht="14.25">
      <c r="A1173" s="3" t="s">
        <v>522</v>
      </c>
      <c r="B1173" s="3" t="s">
        <v>926</v>
      </c>
      <c r="C1173" s="3" t="s">
        <v>936</v>
      </c>
      <c r="D1173" s="3" t="s">
        <v>17</v>
      </c>
      <c r="E1173" s="3" t="s">
        <v>34</v>
      </c>
      <c r="F1173" s="3" t="s">
        <v>19</v>
      </c>
      <c r="G1173" s="4">
        <v>0</v>
      </c>
      <c r="H1173" s="4">
        <v>10664640</v>
      </c>
      <c r="I1173" s="3" t="s">
        <v>39</v>
      </c>
      <c r="J1173" s="4">
        <v>1</v>
      </c>
      <c r="K1173" s="3" t="s">
        <v>21</v>
      </c>
      <c r="L1173" s="4">
        <v>3300000</v>
      </c>
      <c r="M1173" s="1">
        <f>O1173*J1173*K1173</f>
        <v>0</v>
      </c>
      <c r="N1173" s="3"/>
      <c r="O1173" s="2">
        <f>L1173/J1173*(1-K1173)</f>
        <v>3300000</v>
      </c>
    </row>
    <row r="1174" ht="14.25">
      <c r="A1174" s="3" t="s">
        <v>522</v>
      </c>
      <c r="B1174" s="3" t="s">
        <v>926</v>
      </c>
      <c r="C1174" s="3" t="s">
        <v>936</v>
      </c>
      <c r="D1174" s="3" t="s">
        <v>17</v>
      </c>
      <c r="E1174" s="3" t="s">
        <v>34</v>
      </c>
      <c r="F1174" s="3" t="s">
        <v>19</v>
      </c>
      <c r="G1174" s="4">
        <v>0</v>
      </c>
      <c r="H1174" s="4">
        <v>10664640</v>
      </c>
      <c r="I1174" s="3" t="s">
        <v>121</v>
      </c>
      <c r="J1174" s="4">
        <v>1</v>
      </c>
      <c r="K1174" s="3" t="s">
        <v>21</v>
      </c>
      <c r="L1174" s="4">
        <v>3300000</v>
      </c>
      <c r="M1174" s="1">
        <f>O1174*J1174*K1174</f>
        <v>0</v>
      </c>
      <c r="N1174" s="3"/>
      <c r="O1174" s="2">
        <f>L1174/J1174*(1-K1174)</f>
        <v>3300000</v>
      </c>
    </row>
    <row r="1175" ht="14.25">
      <c r="A1175" s="3" t="s">
        <v>522</v>
      </c>
      <c r="B1175" s="3" t="s">
        <v>926</v>
      </c>
      <c r="C1175" s="3" t="s">
        <v>936</v>
      </c>
      <c r="D1175" s="3" t="s">
        <v>17</v>
      </c>
      <c r="E1175" s="3" t="s">
        <v>34</v>
      </c>
      <c r="F1175" s="3" t="s">
        <v>19</v>
      </c>
      <c r="G1175" s="4">
        <v>0</v>
      </c>
      <c r="H1175" s="4">
        <v>10664640</v>
      </c>
      <c r="I1175" s="3" t="s">
        <v>600</v>
      </c>
      <c r="J1175" s="4">
        <v>4</v>
      </c>
      <c r="K1175" s="3" t="s">
        <v>21</v>
      </c>
      <c r="L1175" s="4">
        <v>1500000</v>
      </c>
      <c r="M1175" s="1">
        <f>O1175*J1175*K1175</f>
        <v>0</v>
      </c>
      <c r="N1175" s="3"/>
      <c r="O1175" s="2">
        <f>L1175/J1175*(1-K1175)</f>
        <v>375000</v>
      </c>
    </row>
    <row r="1176" ht="14.25">
      <c r="A1176" s="3" t="s">
        <v>522</v>
      </c>
      <c r="B1176" s="3" t="s">
        <v>926</v>
      </c>
      <c r="C1176" s="3" t="s">
        <v>936</v>
      </c>
      <c r="D1176" s="3" t="s">
        <v>17</v>
      </c>
      <c r="E1176" s="3" t="s">
        <v>34</v>
      </c>
      <c r="F1176" s="3" t="s">
        <v>19</v>
      </c>
      <c r="G1176" s="4">
        <v>0</v>
      </c>
      <c r="H1176" s="4">
        <v>10664640</v>
      </c>
      <c r="I1176" s="3" t="s">
        <v>882</v>
      </c>
      <c r="J1176" s="4">
        <v>4</v>
      </c>
      <c r="K1176" s="3" t="s">
        <v>21</v>
      </c>
      <c r="L1176" s="4">
        <v>644640</v>
      </c>
      <c r="M1176" s="1">
        <f>O1176*J1176*K1176</f>
        <v>0</v>
      </c>
      <c r="N1176" s="3"/>
      <c r="O1176" s="2">
        <f>L1176/J1176*(1-K1176)</f>
        <v>161160</v>
      </c>
    </row>
    <row r="1177" ht="14.25">
      <c r="A1177" s="3" t="s">
        <v>522</v>
      </c>
      <c r="B1177" s="3" t="s">
        <v>926</v>
      </c>
      <c r="C1177" s="3" t="s">
        <v>936</v>
      </c>
      <c r="D1177" s="3" t="s">
        <v>17</v>
      </c>
      <c r="E1177" s="3" t="s">
        <v>34</v>
      </c>
      <c r="F1177" s="3" t="s">
        <v>19</v>
      </c>
      <c r="G1177" s="4">
        <v>0</v>
      </c>
      <c r="H1177" s="4">
        <v>10664640</v>
      </c>
      <c r="I1177" s="3" t="s">
        <v>29</v>
      </c>
      <c r="J1177" s="4">
        <v>4</v>
      </c>
      <c r="K1177" s="3" t="s">
        <v>21</v>
      </c>
      <c r="L1177" s="4">
        <v>1920000</v>
      </c>
      <c r="M1177" s="1">
        <f>O1177*J1177*K1177</f>
        <v>0</v>
      </c>
      <c r="N1177" s="3"/>
      <c r="O1177" s="2">
        <f>L1177/J1177*(1-K1177)</f>
        <v>480000</v>
      </c>
    </row>
    <row r="1178" ht="14.25">
      <c r="A1178" s="3" t="s">
        <v>522</v>
      </c>
      <c r="B1178" s="3" t="s">
        <v>522</v>
      </c>
      <c r="C1178" s="3" t="s">
        <v>937</v>
      </c>
      <c r="D1178" s="3" t="s">
        <v>17</v>
      </c>
      <c r="E1178" s="3" t="s">
        <v>286</v>
      </c>
      <c r="F1178" s="3" t="s">
        <v>19</v>
      </c>
      <c r="G1178" s="4">
        <v>0</v>
      </c>
      <c r="H1178" s="4">
        <v>3600000</v>
      </c>
      <c r="I1178" s="3" t="s">
        <v>35</v>
      </c>
      <c r="J1178" s="4">
        <v>1</v>
      </c>
      <c r="K1178" s="3" t="s">
        <v>21</v>
      </c>
      <c r="L1178" s="4">
        <v>3600000</v>
      </c>
      <c r="M1178" s="1">
        <f>O1178*J1178*K1178</f>
        <v>0</v>
      </c>
      <c r="N1178" s="3"/>
      <c r="O1178" s="2">
        <f>L1178/J1178*(1-K1178)</f>
        <v>3600000</v>
      </c>
    </row>
    <row r="1179" ht="14.25">
      <c r="A1179" s="3" t="s">
        <v>938</v>
      </c>
      <c r="B1179" s="3" t="s">
        <v>938</v>
      </c>
      <c r="C1179" s="3" t="s">
        <v>939</v>
      </c>
      <c r="D1179" s="3" t="s">
        <v>17</v>
      </c>
      <c r="E1179" s="3" t="s">
        <v>340</v>
      </c>
      <c r="F1179" s="3" t="s">
        <v>19</v>
      </c>
      <c r="G1179" s="4">
        <v>0</v>
      </c>
      <c r="H1179" s="4">
        <v>3600000</v>
      </c>
      <c r="I1179" s="3" t="s">
        <v>649</v>
      </c>
      <c r="J1179" s="4">
        <v>12</v>
      </c>
      <c r="K1179" s="3" t="s">
        <v>21</v>
      </c>
      <c r="L1179" s="4">
        <v>2100000</v>
      </c>
      <c r="M1179" s="1">
        <f>O1179*J1179*K1179</f>
        <v>0</v>
      </c>
      <c r="N1179" s="3"/>
      <c r="O1179" s="2">
        <f>L1179/J1179*(1-K1179)</f>
        <v>175000</v>
      </c>
    </row>
    <row r="1180" ht="14.25">
      <c r="A1180" s="3" t="s">
        <v>938</v>
      </c>
      <c r="B1180" s="3" t="s">
        <v>938</v>
      </c>
      <c r="C1180" s="3" t="s">
        <v>939</v>
      </c>
      <c r="D1180" s="3" t="s">
        <v>17</v>
      </c>
      <c r="E1180" s="3" t="s">
        <v>340</v>
      </c>
      <c r="F1180" s="3" t="s">
        <v>19</v>
      </c>
      <c r="G1180" s="4">
        <v>0</v>
      </c>
      <c r="H1180" s="4">
        <v>3600000</v>
      </c>
      <c r="I1180" s="3" t="s">
        <v>395</v>
      </c>
      <c r="J1180" s="4">
        <v>12</v>
      </c>
      <c r="K1180" s="3" t="s">
        <v>21</v>
      </c>
      <c r="L1180" s="4">
        <v>1500000</v>
      </c>
      <c r="M1180" s="1">
        <f>O1180*J1180*K1180</f>
        <v>0</v>
      </c>
      <c r="N1180" s="3"/>
      <c r="O1180" s="2">
        <f>L1180/J1180*(1-K1180)</f>
        <v>125000</v>
      </c>
    </row>
    <row r="1181" ht="14.25">
      <c r="A1181" s="3" t="s">
        <v>938</v>
      </c>
      <c r="B1181" s="3" t="s">
        <v>938</v>
      </c>
      <c r="C1181" s="3" t="s">
        <v>940</v>
      </c>
      <c r="D1181" s="3" t="s">
        <v>17</v>
      </c>
      <c r="E1181" s="3" t="s">
        <v>501</v>
      </c>
      <c r="F1181" s="3" t="s">
        <v>19</v>
      </c>
      <c r="G1181" s="4">
        <v>0</v>
      </c>
      <c r="H1181" s="4">
        <v>10690000</v>
      </c>
      <c r="I1181" s="3" t="s">
        <v>417</v>
      </c>
      <c r="J1181" s="4">
        <v>8</v>
      </c>
      <c r="K1181" s="3" t="s">
        <v>21</v>
      </c>
      <c r="L1181" s="4">
        <v>1300000</v>
      </c>
      <c r="M1181" s="1">
        <f>O1181*J1181*K1181</f>
        <v>0</v>
      </c>
      <c r="N1181" s="3"/>
      <c r="O1181" s="2">
        <f>L1181/J1181*(1-K1181)</f>
        <v>162500</v>
      </c>
    </row>
    <row r="1182" ht="14.25">
      <c r="A1182" s="3" t="s">
        <v>938</v>
      </c>
      <c r="B1182" s="3" t="s">
        <v>938</v>
      </c>
      <c r="C1182" s="3" t="s">
        <v>940</v>
      </c>
      <c r="D1182" s="3" t="s">
        <v>17</v>
      </c>
      <c r="E1182" s="3" t="s">
        <v>501</v>
      </c>
      <c r="F1182" s="3" t="s">
        <v>19</v>
      </c>
      <c r="G1182" s="4">
        <v>0</v>
      </c>
      <c r="H1182" s="4">
        <v>10690000</v>
      </c>
      <c r="I1182" s="3" t="s">
        <v>56</v>
      </c>
      <c r="J1182" s="4">
        <v>8</v>
      </c>
      <c r="K1182" s="3" t="s">
        <v>21</v>
      </c>
      <c r="L1182" s="4">
        <v>1240000</v>
      </c>
      <c r="M1182" s="1">
        <f>O1182*J1182*K1182</f>
        <v>0</v>
      </c>
      <c r="N1182" s="3"/>
      <c r="O1182" s="2">
        <f>L1182/J1182*(1-K1182)</f>
        <v>155000</v>
      </c>
    </row>
    <row r="1183" ht="14.25">
      <c r="A1183" s="3" t="s">
        <v>938</v>
      </c>
      <c r="B1183" s="3" t="s">
        <v>938</v>
      </c>
      <c r="C1183" s="3" t="s">
        <v>940</v>
      </c>
      <c r="D1183" s="3" t="s">
        <v>17</v>
      </c>
      <c r="E1183" s="3" t="s">
        <v>501</v>
      </c>
      <c r="F1183" s="3" t="s">
        <v>19</v>
      </c>
      <c r="G1183" s="4">
        <v>0</v>
      </c>
      <c r="H1183" s="4">
        <v>10690000</v>
      </c>
      <c r="I1183" s="3" t="s">
        <v>395</v>
      </c>
      <c r="J1183" s="4">
        <v>18</v>
      </c>
      <c r="K1183" s="3" t="s">
        <v>21</v>
      </c>
      <c r="L1183" s="4">
        <v>2250000</v>
      </c>
      <c r="M1183" s="1">
        <f>O1183*J1183*K1183</f>
        <v>0</v>
      </c>
      <c r="N1183" s="3"/>
      <c r="O1183" s="2">
        <f>L1183/J1183*(1-K1183)</f>
        <v>125000</v>
      </c>
    </row>
    <row r="1184" ht="14.25">
      <c r="A1184" s="3" t="s">
        <v>938</v>
      </c>
      <c r="B1184" s="3" t="s">
        <v>938</v>
      </c>
      <c r="C1184" s="3" t="s">
        <v>940</v>
      </c>
      <c r="D1184" s="3" t="s">
        <v>17</v>
      </c>
      <c r="E1184" s="3" t="s">
        <v>501</v>
      </c>
      <c r="F1184" s="3" t="s">
        <v>19</v>
      </c>
      <c r="G1184" s="4">
        <v>0</v>
      </c>
      <c r="H1184" s="4">
        <v>10690000</v>
      </c>
      <c r="I1184" s="3" t="s">
        <v>649</v>
      </c>
      <c r="J1184" s="4">
        <v>8</v>
      </c>
      <c r="K1184" s="3" t="s">
        <v>21</v>
      </c>
      <c r="L1184" s="4">
        <v>1400000</v>
      </c>
      <c r="M1184" s="1">
        <f>O1184*J1184*K1184</f>
        <v>0</v>
      </c>
      <c r="N1184" s="3"/>
      <c r="O1184" s="2">
        <f>L1184/J1184*(1-K1184)</f>
        <v>175000</v>
      </c>
    </row>
    <row r="1185" ht="14.25">
      <c r="A1185" s="3" t="s">
        <v>938</v>
      </c>
      <c r="B1185" s="3" t="s">
        <v>938</v>
      </c>
      <c r="C1185" s="3" t="s">
        <v>940</v>
      </c>
      <c r="D1185" s="3" t="s">
        <v>17</v>
      </c>
      <c r="E1185" s="3" t="s">
        <v>501</v>
      </c>
      <c r="F1185" s="3" t="s">
        <v>19</v>
      </c>
      <c r="G1185" s="4">
        <v>0</v>
      </c>
      <c r="H1185" s="4">
        <v>10690000</v>
      </c>
      <c r="I1185" s="3" t="s">
        <v>61</v>
      </c>
      <c r="J1185" s="4">
        <v>1</v>
      </c>
      <c r="K1185" s="3" t="s">
        <v>21</v>
      </c>
      <c r="L1185" s="4">
        <v>4500000</v>
      </c>
      <c r="M1185" s="1">
        <f>O1185*J1185*K1185</f>
        <v>0</v>
      </c>
      <c r="N1185" s="3"/>
      <c r="O1185" s="2">
        <f>L1185/J1185*(1-K1185)</f>
        <v>4500000</v>
      </c>
    </row>
    <row r="1186" ht="14.25">
      <c r="A1186" s="3" t="s">
        <v>938</v>
      </c>
      <c r="B1186" s="3" t="s">
        <v>938</v>
      </c>
      <c r="C1186" s="3" t="s">
        <v>941</v>
      </c>
      <c r="D1186" s="3" t="s">
        <v>17</v>
      </c>
      <c r="E1186" s="3" t="s">
        <v>942</v>
      </c>
      <c r="F1186" s="3" t="s">
        <v>19</v>
      </c>
      <c r="G1186" s="4">
        <v>0</v>
      </c>
      <c r="H1186" s="4">
        <v>0</v>
      </c>
      <c r="I1186" s="3" t="s">
        <v>693</v>
      </c>
      <c r="J1186" s="4">
        <v>4</v>
      </c>
      <c r="K1186" s="3" t="s">
        <v>21</v>
      </c>
      <c r="L1186" s="4">
        <v>0</v>
      </c>
      <c r="M1186" s="1">
        <f>O1186*J1186*K1186</f>
        <v>0</v>
      </c>
      <c r="N1186" s="3"/>
      <c r="O1186" s="2">
        <f>L1186/J1186*(1-K1186)</f>
        <v>0</v>
      </c>
    </row>
    <row r="1187" ht="14.25">
      <c r="A1187" s="3" t="s">
        <v>938</v>
      </c>
      <c r="B1187" s="3" t="s">
        <v>938</v>
      </c>
      <c r="C1187" s="3" t="s">
        <v>943</v>
      </c>
      <c r="D1187" s="3" t="s">
        <v>17</v>
      </c>
      <c r="E1187" s="3" t="s">
        <v>944</v>
      </c>
      <c r="F1187" s="3" t="s">
        <v>19</v>
      </c>
      <c r="G1187" s="4">
        <v>0</v>
      </c>
      <c r="H1187" s="4">
        <v>804000</v>
      </c>
      <c r="I1187" s="3" t="s">
        <v>295</v>
      </c>
      <c r="J1187" s="4">
        <v>24</v>
      </c>
      <c r="K1187" s="3" t="s">
        <v>21</v>
      </c>
      <c r="L1187" s="4">
        <v>804000</v>
      </c>
      <c r="M1187" s="1">
        <f>O1187*J1187*K1187</f>
        <v>0</v>
      </c>
      <c r="N1187" s="3"/>
      <c r="O1187" s="2">
        <f>L1187/J1187*(1-K1187)</f>
        <v>33500</v>
      </c>
    </row>
    <row r="1188" ht="14.25">
      <c r="A1188" s="3" t="s">
        <v>938</v>
      </c>
      <c r="B1188" s="3" t="s">
        <v>945</v>
      </c>
      <c r="C1188" s="3" t="s">
        <v>946</v>
      </c>
      <c r="D1188" s="3" t="s">
        <v>159</v>
      </c>
      <c r="E1188" s="3" t="s">
        <v>947</v>
      </c>
      <c r="F1188" s="3" t="s">
        <v>19</v>
      </c>
      <c r="G1188" s="4">
        <v>1020000</v>
      </c>
      <c r="H1188" s="4">
        <v>1020000</v>
      </c>
      <c r="I1188" s="3" t="s">
        <v>454</v>
      </c>
      <c r="J1188" s="4">
        <v>24</v>
      </c>
      <c r="K1188" s="3" t="s">
        <v>353</v>
      </c>
      <c r="L1188" s="4">
        <v>1200000</v>
      </c>
      <c r="M1188" s="1">
        <f>O1188*J1188*K1188</f>
        <v>153000</v>
      </c>
      <c r="N1188" s="3"/>
      <c r="O1188" s="2">
        <f>L1188/J1188*(1-K1188)</f>
        <v>42500</v>
      </c>
    </row>
    <row r="1189" ht="14.25">
      <c r="A1189" s="3" t="s">
        <v>938</v>
      </c>
      <c r="B1189" s="3" t="s">
        <v>948</v>
      </c>
      <c r="C1189" s="3" t="s">
        <v>949</v>
      </c>
      <c r="D1189" s="3" t="s">
        <v>17</v>
      </c>
      <c r="E1189" s="3" t="s">
        <v>950</v>
      </c>
      <c r="F1189" s="3" t="s">
        <v>19</v>
      </c>
      <c r="G1189" s="4">
        <v>0</v>
      </c>
      <c r="H1189" s="4">
        <v>4250000</v>
      </c>
      <c r="I1189" s="3" t="s">
        <v>35</v>
      </c>
      <c r="J1189" s="4">
        <v>1</v>
      </c>
      <c r="K1189" s="3" t="s">
        <v>21</v>
      </c>
      <c r="L1189" s="4">
        <v>4250000</v>
      </c>
      <c r="M1189" s="1">
        <f>O1189*J1189*K1189</f>
        <v>0</v>
      </c>
      <c r="N1189" s="3"/>
      <c r="O1189" s="2">
        <f>L1189/J1189*(1-K1189)</f>
        <v>4250000</v>
      </c>
    </row>
    <row r="1190" ht="14.25">
      <c r="A1190" s="3" t="s">
        <v>938</v>
      </c>
      <c r="B1190" s="3" t="s">
        <v>945</v>
      </c>
      <c r="C1190" s="3" t="s">
        <v>951</v>
      </c>
      <c r="D1190" s="3" t="s">
        <v>17</v>
      </c>
      <c r="E1190" s="3" t="s">
        <v>34</v>
      </c>
      <c r="F1190" s="3" t="s">
        <v>19</v>
      </c>
      <c r="G1190" s="4">
        <v>0</v>
      </c>
      <c r="H1190" s="4">
        <v>6590000</v>
      </c>
      <c r="I1190" s="3" t="s">
        <v>39</v>
      </c>
      <c r="J1190" s="4">
        <v>1</v>
      </c>
      <c r="K1190" s="3" t="s">
        <v>21</v>
      </c>
      <c r="L1190" s="4">
        <v>3300000</v>
      </c>
      <c r="M1190" s="1">
        <f>O1190*J1190*K1190</f>
        <v>0</v>
      </c>
      <c r="N1190" s="3"/>
      <c r="O1190" s="2">
        <f>L1190/J1190*(1-K1190)</f>
        <v>3300000</v>
      </c>
    </row>
    <row r="1191" ht="14.25">
      <c r="A1191" s="3" t="s">
        <v>938</v>
      </c>
      <c r="B1191" s="3" t="s">
        <v>945</v>
      </c>
      <c r="C1191" s="3" t="s">
        <v>951</v>
      </c>
      <c r="D1191" s="3" t="s">
        <v>17</v>
      </c>
      <c r="E1191" s="3" t="s">
        <v>34</v>
      </c>
      <c r="F1191" s="3" t="s">
        <v>19</v>
      </c>
      <c r="G1191" s="4">
        <v>0</v>
      </c>
      <c r="H1191" s="4">
        <v>6590000</v>
      </c>
      <c r="I1191" s="3" t="s">
        <v>120</v>
      </c>
      <c r="J1191" s="4">
        <v>5</v>
      </c>
      <c r="K1191" s="3" t="s">
        <v>21</v>
      </c>
      <c r="L1191" s="4">
        <v>1100000</v>
      </c>
      <c r="M1191" s="1">
        <f>O1191*J1191*K1191</f>
        <v>0</v>
      </c>
      <c r="N1191" s="3"/>
      <c r="O1191" s="2">
        <f>L1191/J1191*(1-K1191)</f>
        <v>220000</v>
      </c>
    </row>
    <row r="1192" ht="14.25">
      <c r="A1192" s="3" t="s">
        <v>938</v>
      </c>
      <c r="B1192" s="3" t="s">
        <v>945</v>
      </c>
      <c r="C1192" s="3" t="s">
        <v>951</v>
      </c>
      <c r="D1192" s="3" t="s">
        <v>17</v>
      </c>
      <c r="E1192" s="3" t="s">
        <v>34</v>
      </c>
      <c r="F1192" s="3" t="s">
        <v>19</v>
      </c>
      <c r="G1192" s="4">
        <v>0</v>
      </c>
      <c r="H1192" s="4">
        <v>6590000</v>
      </c>
      <c r="I1192" s="3" t="s">
        <v>844</v>
      </c>
      <c r="J1192" s="4">
        <v>2</v>
      </c>
      <c r="K1192" s="3" t="s">
        <v>21</v>
      </c>
      <c r="L1192" s="4">
        <v>1240000</v>
      </c>
      <c r="M1192" s="1">
        <f>O1192*J1192*K1192</f>
        <v>0</v>
      </c>
      <c r="N1192" s="3"/>
      <c r="O1192" s="2">
        <f>L1192/J1192*(1-K1192)</f>
        <v>620000</v>
      </c>
    </row>
    <row r="1193" ht="14.25">
      <c r="A1193" s="3" t="s">
        <v>938</v>
      </c>
      <c r="B1193" s="3" t="s">
        <v>945</v>
      </c>
      <c r="C1193" s="3" t="s">
        <v>951</v>
      </c>
      <c r="D1193" s="3" t="s">
        <v>17</v>
      </c>
      <c r="E1193" s="3" t="s">
        <v>34</v>
      </c>
      <c r="F1193" s="3" t="s">
        <v>19</v>
      </c>
      <c r="G1193" s="4">
        <v>0</v>
      </c>
      <c r="H1193" s="4">
        <v>6590000</v>
      </c>
      <c r="I1193" s="3" t="s">
        <v>58</v>
      </c>
      <c r="J1193" s="4">
        <v>2</v>
      </c>
      <c r="K1193" s="3" t="s">
        <v>21</v>
      </c>
      <c r="L1193" s="4">
        <v>950000</v>
      </c>
      <c r="M1193" s="1">
        <f>O1193*J1193*K1193</f>
        <v>0</v>
      </c>
      <c r="N1193" s="3"/>
      <c r="O1193" s="2">
        <f>L1193/J1193*(1-K1193)</f>
        <v>475000</v>
      </c>
    </row>
    <row r="1194" ht="14.25">
      <c r="A1194" s="3" t="s">
        <v>938</v>
      </c>
      <c r="B1194" s="3" t="s">
        <v>644</v>
      </c>
      <c r="C1194" s="3" t="s">
        <v>952</v>
      </c>
      <c r="D1194" s="3" t="s">
        <v>17</v>
      </c>
      <c r="E1194" s="3" t="s">
        <v>23</v>
      </c>
      <c r="F1194" s="3" t="s">
        <v>19</v>
      </c>
      <c r="G1194" s="4">
        <v>0</v>
      </c>
      <c r="H1194" s="4">
        <v>4800000</v>
      </c>
      <c r="I1194" s="3" t="s">
        <v>234</v>
      </c>
      <c r="J1194" s="4">
        <v>1</v>
      </c>
      <c r="K1194" s="3" t="s">
        <v>21</v>
      </c>
      <c r="L1194" s="4">
        <v>4800000</v>
      </c>
      <c r="M1194" s="1">
        <f>O1194*J1194*K1194</f>
        <v>0</v>
      </c>
      <c r="N1194" s="3"/>
      <c r="O1194" s="2">
        <f>L1194/J1194*(1-K1194)</f>
        <v>4800000</v>
      </c>
    </row>
    <row r="1195" ht="14.25">
      <c r="A1195" s="3" t="s">
        <v>938</v>
      </c>
      <c r="B1195" s="3" t="s">
        <v>948</v>
      </c>
      <c r="C1195" s="3" t="s">
        <v>953</v>
      </c>
      <c r="D1195" s="3" t="s">
        <v>17</v>
      </c>
      <c r="E1195" s="3" t="s">
        <v>954</v>
      </c>
      <c r="F1195" s="3" t="s">
        <v>19</v>
      </c>
      <c r="G1195" s="4">
        <v>0</v>
      </c>
      <c r="H1195" s="4">
        <v>3800000</v>
      </c>
      <c r="I1195" s="3" t="s">
        <v>39</v>
      </c>
      <c r="J1195" s="4">
        <v>1</v>
      </c>
      <c r="K1195" s="3" t="s">
        <v>21</v>
      </c>
      <c r="L1195" s="4">
        <v>3800000</v>
      </c>
      <c r="M1195" s="1">
        <f>O1195*J1195*K1195</f>
        <v>0</v>
      </c>
      <c r="N1195" s="3"/>
      <c r="O1195" s="2">
        <f>L1195/J1195*(1-K1195)</f>
        <v>3800000</v>
      </c>
    </row>
    <row r="1196" ht="14.25">
      <c r="A1196" s="3" t="s">
        <v>938</v>
      </c>
      <c r="B1196" s="3" t="s">
        <v>938</v>
      </c>
      <c r="C1196" s="3" t="s">
        <v>955</v>
      </c>
      <c r="D1196" s="3" t="s">
        <v>17</v>
      </c>
      <c r="E1196" s="3" t="s">
        <v>346</v>
      </c>
      <c r="F1196" s="3" t="s">
        <v>19</v>
      </c>
      <c r="G1196" s="4">
        <v>0</v>
      </c>
      <c r="H1196" s="4">
        <v>84000000</v>
      </c>
      <c r="I1196" s="3" t="s">
        <v>154</v>
      </c>
      <c r="J1196" s="4">
        <v>10</v>
      </c>
      <c r="K1196" s="3" t="s">
        <v>21</v>
      </c>
      <c r="L1196" s="4">
        <v>51000000</v>
      </c>
      <c r="M1196" s="1">
        <f>O1196*J1196*K1196</f>
        <v>0</v>
      </c>
      <c r="N1196" s="3"/>
      <c r="O1196" s="2">
        <f>L1196/J1196*(1-K1196)</f>
        <v>5100000</v>
      </c>
    </row>
    <row r="1197" ht="14.25">
      <c r="A1197" s="3" t="s">
        <v>938</v>
      </c>
      <c r="B1197" s="3" t="s">
        <v>938</v>
      </c>
      <c r="C1197" s="3" t="s">
        <v>955</v>
      </c>
      <c r="D1197" s="3" t="s">
        <v>17</v>
      </c>
      <c r="E1197" s="3" t="s">
        <v>346</v>
      </c>
      <c r="F1197" s="3" t="s">
        <v>19</v>
      </c>
      <c r="G1197" s="4">
        <v>0</v>
      </c>
      <c r="H1197" s="4">
        <v>84000000</v>
      </c>
      <c r="I1197" s="3" t="s">
        <v>956</v>
      </c>
      <c r="J1197" s="4">
        <v>2</v>
      </c>
      <c r="K1197" s="3" t="s">
        <v>21</v>
      </c>
      <c r="L1197" s="4">
        <v>9000000</v>
      </c>
      <c r="M1197" s="1">
        <f>O1197*J1197*K1197</f>
        <v>0</v>
      </c>
      <c r="N1197" s="3"/>
      <c r="O1197" s="2">
        <f>L1197/J1197*(1-K1197)</f>
        <v>4500000</v>
      </c>
    </row>
    <row r="1198" ht="14.25">
      <c r="A1198" s="3" t="s">
        <v>938</v>
      </c>
      <c r="B1198" s="3" t="s">
        <v>938</v>
      </c>
      <c r="C1198" s="3" t="s">
        <v>955</v>
      </c>
      <c r="D1198" s="3" t="s">
        <v>17</v>
      </c>
      <c r="E1198" s="3" t="s">
        <v>346</v>
      </c>
      <c r="F1198" s="3" t="s">
        <v>19</v>
      </c>
      <c r="G1198" s="4">
        <v>0</v>
      </c>
      <c r="H1198" s="4">
        <v>84000000</v>
      </c>
      <c r="I1198" s="3" t="s">
        <v>539</v>
      </c>
      <c r="J1198" s="4">
        <v>3</v>
      </c>
      <c r="K1198" s="3" t="s">
        <v>21</v>
      </c>
      <c r="L1198" s="4">
        <v>18000000</v>
      </c>
      <c r="M1198" s="1">
        <f>O1198*J1198*K1198</f>
        <v>0</v>
      </c>
      <c r="N1198" s="3"/>
      <c r="O1198" s="2">
        <f>L1198/J1198*(1-K1198)</f>
        <v>6000000</v>
      </c>
    </row>
    <row r="1199" ht="14.25">
      <c r="A1199" s="3" t="s">
        <v>938</v>
      </c>
      <c r="B1199" s="3" t="s">
        <v>938</v>
      </c>
      <c r="C1199" s="3" t="s">
        <v>955</v>
      </c>
      <c r="D1199" s="3" t="s">
        <v>17</v>
      </c>
      <c r="E1199" s="3" t="s">
        <v>346</v>
      </c>
      <c r="F1199" s="3" t="s">
        <v>19</v>
      </c>
      <c r="G1199" s="4">
        <v>0</v>
      </c>
      <c r="H1199" s="4">
        <v>84000000</v>
      </c>
      <c r="I1199" s="3" t="s">
        <v>922</v>
      </c>
      <c r="J1199" s="4">
        <v>1</v>
      </c>
      <c r="K1199" s="3" t="s">
        <v>21</v>
      </c>
      <c r="L1199" s="4">
        <v>6000000</v>
      </c>
      <c r="M1199" s="1">
        <f>O1199*J1199*K1199</f>
        <v>0</v>
      </c>
      <c r="N1199" s="3"/>
      <c r="O1199" s="2">
        <f>L1199/J1199*(1-K1199)</f>
        <v>6000000</v>
      </c>
    </row>
    <row r="1200" ht="14.25">
      <c r="A1200" s="3" t="s">
        <v>938</v>
      </c>
      <c r="B1200" s="3" t="s">
        <v>945</v>
      </c>
      <c r="C1200" s="3" t="s">
        <v>957</v>
      </c>
      <c r="D1200" s="3" t="s">
        <v>159</v>
      </c>
      <c r="E1200" s="3" t="s">
        <v>279</v>
      </c>
      <c r="F1200" s="3" t="s">
        <v>19</v>
      </c>
      <c r="G1200" s="4">
        <v>51660000</v>
      </c>
      <c r="H1200" s="4">
        <v>51660000</v>
      </c>
      <c r="I1200" s="3" t="s">
        <v>47</v>
      </c>
      <c r="J1200" s="4">
        <v>1200</v>
      </c>
      <c r="K1200" s="3" t="s">
        <v>21</v>
      </c>
      <c r="L1200" s="4">
        <v>37500000</v>
      </c>
      <c r="M1200" s="1">
        <f>O1200*J1200*K1200</f>
        <v>0</v>
      </c>
      <c r="N1200" s="3"/>
      <c r="O1200" s="2">
        <f>L1200/J1200*(1-K1200)</f>
        <v>31250</v>
      </c>
    </row>
    <row r="1201" ht="14.25">
      <c r="A1201" s="3" t="s">
        <v>938</v>
      </c>
      <c r="B1201" s="3" t="s">
        <v>945</v>
      </c>
      <c r="C1201" s="3" t="s">
        <v>957</v>
      </c>
      <c r="D1201" s="3" t="s">
        <v>159</v>
      </c>
      <c r="E1201" s="3" t="s">
        <v>279</v>
      </c>
      <c r="F1201" s="3" t="s">
        <v>19</v>
      </c>
      <c r="G1201" s="4">
        <v>51660000</v>
      </c>
      <c r="H1201" s="4">
        <v>51660000</v>
      </c>
      <c r="I1201" s="3" t="s">
        <v>295</v>
      </c>
      <c r="J1201" s="4">
        <v>240</v>
      </c>
      <c r="K1201" s="3" t="s">
        <v>21</v>
      </c>
      <c r="L1201" s="4">
        <v>7500000</v>
      </c>
      <c r="M1201" s="1">
        <f>O1201*J1201*K1201</f>
        <v>0</v>
      </c>
      <c r="N1201" s="3"/>
      <c r="O1201" s="2">
        <f>L1201/J1201*(1-K1201)</f>
        <v>31250</v>
      </c>
    </row>
    <row r="1202" ht="14.25">
      <c r="A1202" s="3" t="s">
        <v>938</v>
      </c>
      <c r="B1202" s="3" t="s">
        <v>945</v>
      </c>
      <c r="C1202" s="3" t="s">
        <v>957</v>
      </c>
      <c r="D1202" s="3" t="s">
        <v>159</v>
      </c>
      <c r="E1202" s="3" t="s">
        <v>279</v>
      </c>
      <c r="F1202" s="3" t="s">
        <v>19</v>
      </c>
      <c r="G1202" s="4">
        <v>51660000</v>
      </c>
      <c r="H1202" s="4">
        <v>51660000</v>
      </c>
      <c r="I1202" s="3" t="s">
        <v>281</v>
      </c>
      <c r="J1202" s="4">
        <v>720</v>
      </c>
      <c r="K1202" s="3" t="s">
        <v>21</v>
      </c>
      <c r="L1202" s="4">
        <v>6660000</v>
      </c>
      <c r="M1202" s="1">
        <f>O1202*J1202*K1202</f>
        <v>0</v>
      </c>
      <c r="N1202" s="3"/>
      <c r="O1202" s="2">
        <f>L1202/J1202*(1-K1202)</f>
        <v>9250</v>
      </c>
    </row>
    <row r="1203" ht="14.25">
      <c r="A1203" s="3" t="s">
        <v>938</v>
      </c>
      <c r="B1203" s="3" t="s">
        <v>938</v>
      </c>
      <c r="C1203" s="3" t="s">
        <v>958</v>
      </c>
      <c r="D1203" s="3" t="s">
        <v>17</v>
      </c>
      <c r="E1203" s="3" t="s">
        <v>782</v>
      </c>
      <c r="F1203" s="3" t="s">
        <v>19</v>
      </c>
      <c r="G1203" s="4">
        <v>0</v>
      </c>
      <c r="H1203" s="4">
        <v>0</v>
      </c>
      <c r="I1203" s="3" t="s">
        <v>121</v>
      </c>
      <c r="J1203" s="4">
        <v>1</v>
      </c>
      <c r="K1203" s="3" t="s">
        <v>21</v>
      </c>
      <c r="L1203" s="4">
        <v>0</v>
      </c>
      <c r="M1203" s="1">
        <f>O1203*J1203*K1203</f>
        <v>0</v>
      </c>
      <c r="N1203" s="3"/>
      <c r="O1203" s="2">
        <f>L1203/J1203*(1-K1203)</f>
        <v>0</v>
      </c>
    </row>
    <row r="1204" ht="14.25">
      <c r="A1204" s="3" t="s">
        <v>552</v>
      </c>
      <c r="B1204" s="3" t="s">
        <v>552</v>
      </c>
      <c r="C1204" s="3" t="s">
        <v>959</v>
      </c>
      <c r="D1204" s="3" t="s">
        <v>17</v>
      </c>
      <c r="E1204" s="3" t="s">
        <v>263</v>
      </c>
      <c r="F1204" s="3" t="s">
        <v>19</v>
      </c>
      <c r="G1204" s="4">
        <v>0</v>
      </c>
      <c r="H1204" s="4">
        <v>7440000</v>
      </c>
      <c r="I1204" s="3" t="s">
        <v>960</v>
      </c>
      <c r="J1204" s="4">
        <v>1</v>
      </c>
      <c r="K1204" s="3" t="s">
        <v>21</v>
      </c>
      <c r="L1204" s="4">
        <v>4500000</v>
      </c>
      <c r="M1204" s="1">
        <f>O1204*J1204*K1204</f>
        <v>0</v>
      </c>
      <c r="N1204" s="3"/>
      <c r="O1204" s="2">
        <f>L1204/J1204*(1-K1204)</f>
        <v>4500000</v>
      </c>
    </row>
    <row r="1205" ht="14.25">
      <c r="A1205" s="3" t="s">
        <v>552</v>
      </c>
      <c r="B1205" s="3" t="s">
        <v>552</v>
      </c>
      <c r="C1205" s="3" t="s">
        <v>959</v>
      </c>
      <c r="D1205" s="3" t="s">
        <v>17</v>
      </c>
      <c r="E1205" s="3" t="s">
        <v>263</v>
      </c>
      <c r="F1205" s="3" t="s">
        <v>19</v>
      </c>
      <c r="G1205" s="4">
        <v>0</v>
      </c>
      <c r="H1205" s="4">
        <v>7440000</v>
      </c>
      <c r="I1205" s="3" t="s">
        <v>29</v>
      </c>
      <c r="J1205" s="4">
        <v>6</v>
      </c>
      <c r="K1205" s="3" t="s">
        <v>21</v>
      </c>
      <c r="L1205" s="4">
        <v>2940000</v>
      </c>
      <c r="M1205" s="1">
        <f>O1205*J1205*K1205</f>
        <v>0</v>
      </c>
      <c r="N1205" s="3"/>
      <c r="O1205" s="2">
        <f>L1205/J1205*(1-K1205)</f>
        <v>490000</v>
      </c>
    </row>
    <row r="1206" ht="14.25">
      <c r="A1206" s="3" t="s">
        <v>552</v>
      </c>
      <c r="B1206" s="3" t="s">
        <v>961</v>
      </c>
      <c r="C1206" s="3" t="s">
        <v>962</v>
      </c>
      <c r="D1206" s="3" t="s">
        <v>17</v>
      </c>
      <c r="E1206" s="3" t="s">
        <v>963</v>
      </c>
      <c r="F1206" s="3" t="s">
        <v>19</v>
      </c>
      <c r="G1206" s="4">
        <v>0</v>
      </c>
      <c r="H1206" s="4">
        <v>11144000</v>
      </c>
      <c r="I1206" s="3" t="s">
        <v>607</v>
      </c>
      <c r="J1206" s="4">
        <v>5</v>
      </c>
      <c r="K1206" s="3" t="s">
        <v>21</v>
      </c>
      <c r="L1206" s="4">
        <v>3400000</v>
      </c>
      <c r="M1206" s="1">
        <f>O1206*J1206*K1206</f>
        <v>0</v>
      </c>
      <c r="N1206" s="3"/>
      <c r="O1206" s="2">
        <f>L1206/J1206*(1-K1206)</f>
        <v>680000</v>
      </c>
    </row>
    <row r="1207" ht="14.25">
      <c r="A1207" s="3" t="s">
        <v>552</v>
      </c>
      <c r="B1207" s="3" t="s">
        <v>961</v>
      </c>
      <c r="C1207" s="3" t="s">
        <v>962</v>
      </c>
      <c r="D1207" s="3" t="s">
        <v>17</v>
      </c>
      <c r="E1207" s="3" t="s">
        <v>963</v>
      </c>
      <c r="F1207" s="3" t="s">
        <v>19</v>
      </c>
      <c r="G1207" s="4">
        <v>0</v>
      </c>
      <c r="H1207" s="4">
        <v>11144000</v>
      </c>
      <c r="I1207" s="3" t="s">
        <v>844</v>
      </c>
      <c r="J1207" s="4">
        <v>5</v>
      </c>
      <c r="K1207" s="3" t="s">
        <v>21</v>
      </c>
      <c r="L1207" s="4">
        <v>3300000</v>
      </c>
      <c r="M1207" s="1">
        <f>O1207*J1207*K1207</f>
        <v>0</v>
      </c>
      <c r="N1207" s="3"/>
      <c r="O1207" s="2">
        <f>L1207/J1207*(1-K1207)</f>
        <v>660000</v>
      </c>
    </row>
    <row r="1208" ht="14.25">
      <c r="A1208" s="3" t="s">
        <v>552</v>
      </c>
      <c r="B1208" s="3" t="s">
        <v>961</v>
      </c>
      <c r="C1208" s="3" t="s">
        <v>962</v>
      </c>
      <c r="D1208" s="3" t="s">
        <v>17</v>
      </c>
      <c r="E1208" s="3" t="s">
        <v>963</v>
      </c>
      <c r="F1208" s="3" t="s">
        <v>19</v>
      </c>
      <c r="G1208" s="4">
        <v>0</v>
      </c>
      <c r="H1208" s="4">
        <v>11144000</v>
      </c>
      <c r="I1208" s="3" t="s">
        <v>474</v>
      </c>
      <c r="J1208" s="4">
        <v>4</v>
      </c>
      <c r="K1208" s="3" t="s">
        <v>21</v>
      </c>
      <c r="L1208" s="4">
        <v>1480000</v>
      </c>
      <c r="M1208" s="1">
        <f>O1208*J1208*K1208</f>
        <v>0</v>
      </c>
      <c r="N1208" s="3"/>
      <c r="O1208" s="2">
        <f>L1208/J1208*(1-K1208)</f>
        <v>370000</v>
      </c>
    </row>
    <row r="1209" ht="14.25">
      <c r="A1209" s="3" t="s">
        <v>552</v>
      </c>
      <c r="B1209" s="3" t="s">
        <v>961</v>
      </c>
      <c r="C1209" s="3" t="s">
        <v>962</v>
      </c>
      <c r="D1209" s="3" t="s">
        <v>17</v>
      </c>
      <c r="E1209" s="3" t="s">
        <v>963</v>
      </c>
      <c r="F1209" s="3" t="s">
        <v>19</v>
      </c>
      <c r="G1209" s="4">
        <v>0</v>
      </c>
      <c r="H1209" s="4">
        <v>11144000</v>
      </c>
      <c r="I1209" s="3" t="s">
        <v>399</v>
      </c>
      <c r="J1209" s="4">
        <v>2</v>
      </c>
      <c r="K1209" s="3" t="s">
        <v>21</v>
      </c>
      <c r="L1209" s="4">
        <v>680000</v>
      </c>
      <c r="M1209" s="1">
        <f>O1209*J1209*K1209</f>
        <v>0</v>
      </c>
      <c r="N1209" s="3"/>
      <c r="O1209" s="2">
        <f>L1209/J1209*(1-K1209)</f>
        <v>340000</v>
      </c>
    </row>
    <row r="1210" ht="14.25">
      <c r="A1210" s="3" t="s">
        <v>552</v>
      </c>
      <c r="B1210" s="3" t="s">
        <v>961</v>
      </c>
      <c r="C1210" s="3" t="s">
        <v>962</v>
      </c>
      <c r="D1210" s="3" t="s">
        <v>17</v>
      </c>
      <c r="E1210" s="3" t="s">
        <v>963</v>
      </c>
      <c r="F1210" s="3" t="s">
        <v>19</v>
      </c>
      <c r="G1210" s="4">
        <v>0</v>
      </c>
      <c r="H1210" s="4">
        <v>11144000</v>
      </c>
      <c r="I1210" s="3" t="s">
        <v>467</v>
      </c>
      <c r="J1210" s="4">
        <v>20</v>
      </c>
      <c r="K1210" s="3" t="s">
        <v>21</v>
      </c>
      <c r="L1210" s="4">
        <v>720000</v>
      </c>
      <c r="M1210" s="1">
        <f>O1210*J1210*K1210</f>
        <v>0</v>
      </c>
      <c r="N1210" s="3"/>
      <c r="O1210" s="2">
        <f>L1210/J1210*(1-K1210)</f>
        <v>36000</v>
      </c>
    </row>
    <row r="1211" ht="14.25">
      <c r="A1211" s="3" t="s">
        <v>552</v>
      </c>
      <c r="B1211" s="3" t="s">
        <v>961</v>
      </c>
      <c r="C1211" s="3" t="s">
        <v>962</v>
      </c>
      <c r="D1211" s="3" t="s">
        <v>17</v>
      </c>
      <c r="E1211" s="3" t="s">
        <v>963</v>
      </c>
      <c r="F1211" s="3" t="s">
        <v>19</v>
      </c>
      <c r="G1211" s="4">
        <v>0</v>
      </c>
      <c r="H1211" s="4">
        <v>11144000</v>
      </c>
      <c r="I1211" s="3" t="s">
        <v>423</v>
      </c>
      <c r="J1211" s="4">
        <v>20</v>
      </c>
      <c r="K1211" s="3" t="s">
        <v>21</v>
      </c>
      <c r="L1211" s="4">
        <v>700000</v>
      </c>
      <c r="M1211" s="1">
        <f>O1211*J1211*K1211</f>
        <v>0</v>
      </c>
      <c r="N1211" s="3"/>
      <c r="O1211" s="2">
        <f>L1211/J1211*(1-K1211)</f>
        <v>35000</v>
      </c>
    </row>
    <row r="1212" ht="14.25">
      <c r="A1212" s="3" t="s">
        <v>552</v>
      </c>
      <c r="B1212" s="3" t="s">
        <v>961</v>
      </c>
      <c r="C1212" s="3" t="s">
        <v>962</v>
      </c>
      <c r="D1212" s="3" t="s">
        <v>17</v>
      </c>
      <c r="E1212" s="3" t="s">
        <v>963</v>
      </c>
      <c r="F1212" s="3" t="s">
        <v>19</v>
      </c>
      <c r="G1212" s="4">
        <v>0</v>
      </c>
      <c r="H1212" s="4">
        <v>11144000</v>
      </c>
      <c r="I1212" s="3" t="s">
        <v>47</v>
      </c>
      <c r="J1212" s="4">
        <v>24</v>
      </c>
      <c r="K1212" s="3" t="s">
        <v>21</v>
      </c>
      <c r="L1212" s="4">
        <v>864000</v>
      </c>
      <c r="M1212" s="1">
        <f>O1212*J1212*K1212</f>
        <v>0</v>
      </c>
      <c r="N1212" s="3"/>
      <c r="O1212" s="2">
        <f>L1212/J1212*(1-K1212)</f>
        <v>36000</v>
      </c>
    </row>
    <row r="1213" ht="14.25">
      <c r="A1213" s="3" t="s">
        <v>552</v>
      </c>
      <c r="B1213" s="3" t="s">
        <v>961</v>
      </c>
      <c r="C1213" s="3" t="s">
        <v>964</v>
      </c>
      <c r="D1213" s="3" t="s">
        <v>17</v>
      </c>
      <c r="E1213" s="3" t="s">
        <v>965</v>
      </c>
      <c r="F1213" s="3" t="s">
        <v>19</v>
      </c>
      <c r="G1213" s="4">
        <v>0</v>
      </c>
      <c r="H1213" s="4">
        <v>11968000</v>
      </c>
      <c r="I1213" s="3" t="s">
        <v>378</v>
      </c>
      <c r="J1213" s="4">
        <v>2</v>
      </c>
      <c r="K1213" s="3" t="s">
        <v>21</v>
      </c>
      <c r="L1213" s="4">
        <v>6400000</v>
      </c>
      <c r="M1213" s="1">
        <f>O1213*J1213*K1213</f>
        <v>0</v>
      </c>
      <c r="N1213" s="3"/>
      <c r="O1213" s="2">
        <f>L1213/J1213*(1-K1213)</f>
        <v>3200000</v>
      </c>
    </row>
    <row r="1214" ht="14.25">
      <c r="A1214" s="3" t="s">
        <v>552</v>
      </c>
      <c r="B1214" s="3" t="s">
        <v>961</v>
      </c>
      <c r="C1214" s="3" t="s">
        <v>964</v>
      </c>
      <c r="D1214" s="3" t="s">
        <v>17</v>
      </c>
      <c r="E1214" s="3" t="s">
        <v>965</v>
      </c>
      <c r="F1214" s="3" t="s">
        <v>19</v>
      </c>
      <c r="G1214" s="4">
        <v>0</v>
      </c>
      <c r="H1214" s="4">
        <v>11968000</v>
      </c>
      <c r="I1214" s="3" t="s">
        <v>29</v>
      </c>
      <c r="J1214" s="4">
        <v>4</v>
      </c>
      <c r="K1214" s="3" t="s">
        <v>21</v>
      </c>
      <c r="L1214" s="4">
        <v>2000000</v>
      </c>
      <c r="M1214" s="1">
        <f>O1214*J1214*K1214</f>
        <v>0</v>
      </c>
      <c r="N1214" s="3"/>
      <c r="O1214" s="2">
        <f>L1214/J1214*(1-K1214)</f>
        <v>500000</v>
      </c>
    </row>
    <row r="1215" ht="14.25">
      <c r="A1215" s="3" t="s">
        <v>552</v>
      </c>
      <c r="B1215" s="3" t="s">
        <v>961</v>
      </c>
      <c r="C1215" s="3" t="s">
        <v>964</v>
      </c>
      <c r="D1215" s="3" t="s">
        <v>17</v>
      </c>
      <c r="E1215" s="3" t="s">
        <v>965</v>
      </c>
      <c r="F1215" s="3" t="s">
        <v>19</v>
      </c>
      <c r="G1215" s="4">
        <v>0</v>
      </c>
      <c r="H1215" s="4">
        <v>11968000</v>
      </c>
      <c r="I1215" s="3" t="s">
        <v>129</v>
      </c>
      <c r="J1215" s="4">
        <v>20</v>
      </c>
      <c r="K1215" s="3" t="s">
        <v>21</v>
      </c>
      <c r="L1215" s="4">
        <v>1560000</v>
      </c>
      <c r="M1215" s="1">
        <f>O1215*J1215*K1215</f>
        <v>0</v>
      </c>
      <c r="N1215" s="3"/>
      <c r="O1215" s="2">
        <f>L1215/J1215*(1-K1215)</f>
        <v>78000</v>
      </c>
    </row>
    <row r="1216" ht="14.25">
      <c r="A1216" s="3" t="s">
        <v>552</v>
      </c>
      <c r="B1216" s="3" t="s">
        <v>961</v>
      </c>
      <c r="C1216" s="3" t="s">
        <v>964</v>
      </c>
      <c r="D1216" s="3" t="s">
        <v>17</v>
      </c>
      <c r="E1216" s="3" t="s">
        <v>965</v>
      </c>
      <c r="F1216" s="3" t="s">
        <v>19</v>
      </c>
      <c r="G1216" s="4">
        <v>0</v>
      </c>
      <c r="H1216" s="4">
        <v>11968000</v>
      </c>
      <c r="I1216" s="3" t="s">
        <v>182</v>
      </c>
      <c r="J1216" s="4">
        <v>4</v>
      </c>
      <c r="K1216" s="3" t="s">
        <v>21</v>
      </c>
      <c r="L1216" s="4">
        <v>1348000</v>
      </c>
      <c r="M1216" s="1">
        <f>O1216*J1216*K1216</f>
        <v>0</v>
      </c>
      <c r="N1216" s="3"/>
      <c r="O1216" s="2">
        <f>L1216/J1216*(1-K1216)</f>
        <v>337000</v>
      </c>
    </row>
    <row r="1217" ht="14.25">
      <c r="A1217" s="3" t="s">
        <v>552</v>
      </c>
      <c r="B1217" s="3" t="s">
        <v>961</v>
      </c>
      <c r="C1217" s="3" t="s">
        <v>964</v>
      </c>
      <c r="D1217" s="3" t="s">
        <v>17</v>
      </c>
      <c r="E1217" s="3" t="s">
        <v>965</v>
      </c>
      <c r="F1217" s="3" t="s">
        <v>19</v>
      </c>
      <c r="G1217" s="4">
        <v>0</v>
      </c>
      <c r="H1217" s="4">
        <v>11968000</v>
      </c>
      <c r="I1217" s="3" t="s">
        <v>56</v>
      </c>
      <c r="J1217" s="4">
        <v>4</v>
      </c>
      <c r="K1217" s="3" t="s">
        <v>21</v>
      </c>
      <c r="L1217" s="4">
        <v>660000</v>
      </c>
      <c r="M1217" s="1">
        <f>O1217*J1217*K1217</f>
        <v>0</v>
      </c>
      <c r="N1217" s="3"/>
      <c r="O1217" s="2">
        <f>L1217/J1217*(1-K1217)</f>
        <v>165000</v>
      </c>
    </row>
    <row r="1218" ht="14.25">
      <c r="A1218" s="3" t="s">
        <v>552</v>
      </c>
      <c r="B1218" s="3" t="s">
        <v>961</v>
      </c>
      <c r="C1218" s="3" t="s">
        <v>966</v>
      </c>
      <c r="D1218" s="3" t="s">
        <v>17</v>
      </c>
      <c r="E1218" s="3" t="s">
        <v>967</v>
      </c>
      <c r="F1218" s="3" t="s">
        <v>19</v>
      </c>
      <c r="G1218" s="4">
        <v>0</v>
      </c>
      <c r="H1218" s="4">
        <v>3800000</v>
      </c>
      <c r="I1218" s="3" t="s">
        <v>39</v>
      </c>
      <c r="J1218" s="4">
        <v>1</v>
      </c>
      <c r="K1218" s="3" t="s">
        <v>21</v>
      </c>
      <c r="L1218" s="4">
        <v>3800000</v>
      </c>
      <c r="M1218" s="1">
        <f>O1218*J1218*K1218</f>
        <v>0</v>
      </c>
      <c r="N1218" s="3"/>
      <c r="O1218" s="2">
        <f>L1218/J1218*(1-K1218)</f>
        <v>3800000</v>
      </c>
    </row>
    <row r="1219" ht="14.25">
      <c r="A1219" s="3" t="s">
        <v>552</v>
      </c>
      <c r="B1219" s="3" t="s">
        <v>552</v>
      </c>
      <c r="C1219" s="3" t="s">
        <v>968</v>
      </c>
      <c r="D1219" s="3" t="s">
        <v>17</v>
      </c>
      <c r="E1219" s="3" t="s">
        <v>53</v>
      </c>
      <c r="F1219" s="3" t="s">
        <v>19</v>
      </c>
      <c r="G1219" s="4">
        <v>0</v>
      </c>
      <c r="H1219" s="4">
        <v>6337048</v>
      </c>
      <c r="I1219" s="3" t="s">
        <v>185</v>
      </c>
      <c r="J1219" s="4">
        <v>6</v>
      </c>
      <c r="K1219" s="3" t="s">
        <v>774</v>
      </c>
      <c r="L1219" s="4">
        <v>1168800</v>
      </c>
      <c r="M1219" s="1">
        <f>O1219*J1219*K1219</f>
        <v>44881.919999999998</v>
      </c>
      <c r="N1219" s="3"/>
      <c r="O1219" s="2">
        <f>L1219/J1219*(1-K1219)</f>
        <v>187008</v>
      </c>
    </row>
    <row r="1220" ht="14.25">
      <c r="A1220" s="3" t="s">
        <v>552</v>
      </c>
      <c r="B1220" s="3" t="s">
        <v>552</v>
      </c>
      <c r="C1220" s="3" t="s">
        <v>968</v>
      </c>
      <c r="D1220" s="3" t="s">
        <v>17</v>
      </c>
      <c r="E1220" s="3" t="s">
        <v>53</v>
      </c>
      <c r="F1220" s="3" t="s">
        <v>19</v>
      </c>
      <c r="G1220" s="4">
        <v>0</v>
      </c>
      <c r="H1220" s="4">
        <v>6337048</v>
      </c>
      <c r="I1220" s="3" t="s">
        <v>649</v>
      </c>
      <c r="J1220" s="4">
        <v>4</v>
      </c>
      <c r="K1220" s="3" t="s">
        <v>21</v>
      </c>
      <c r="L1220" s="4">
        <v>700000</v>
      </c>
      <c r="M1220" s="1">
        <f>O1220*J1220*K1220</f>
        <v>0</v>
      </c>
      <c r="N1220" s="3"/>
      <c r="O1220" s="2">
        <f>L1220/J1220*(1-K1220)</f>
        <v>175000</v>
      </c>
    </row>
    <row r="1221" ht="14.25">
      <c r="A1221" s="3" t="s">
        <v>552</v>
      </c>
      <c r="B1221" s="3" t="s">
        <v>552</v>
      </c>
      <c r="C1221" s="3" t="s">
        <v>968</v>
      </c>
      <c r="D1221" s="3" t="s">
        <v>17</v>
      </c>
      <c r="E1221" s="3" t="s">
        <v>53</v>
      </c>
      <c r="F1221" s="3" t="s">
        <v>19</v>
      </c>
      <c r="G1221" s="4">
        <v>0</v>
      </c>
      <c r="H1221" s="4">
        <v>6337048</v>
      </c>
      <c r="I1221" s="3" t="s">
        <v>454</v>
      </c>
      <c r="J1221" s="4">
        <v>12</v>
      </c>
      <c r="K1221" s="3" t="s">
        <v>455</v>
      </c>
      <c r="L1221" s="4">
        <v>600000</v>
      </c>
      <c r="M1221" s="1">
        <f>O1221*J1221*K1221</f>
        <v>96000</v>
      </c>
      <c r="N1221" s="3"/>
      <c r="O1221" s="2">
        <f>L1221/J1221*(1-K1221)</f>
        <v>40000</v>
      </c>
    </row>
    <row r="1222" ht="14.25">
      <c r="A1222" s="3" t="s">
        <v>552</v>
      </c>
      <c r="B1222" s="3" t="s">
        <v>552</v>
      </c>
      <c r="C1222" s="3" t="s">
        <v>968</v>
      </c>
      <c r="D1222" s="3" t="s">
        <v>17</v>
      </c>
      <c r="E1222" s="3" t="s">
        <v>53</v>
      </c>
      <c r="F1222" s="3" t="s">
        <v>19</v>
      </c>
      <c r="G1222" s="4">
        <v>0</v>
      </c>
      <c r="H1222" s="4">
        <v>6337048</v>
      </c>
      <c r="I1222" s="3" t="s">
        <v>817</v>
      </c>
      <c r="J1222" s="4">
        <v>4</v>
      </c>
      <c r="K1222" s="3" t="s">
        <v>21</v>
      </c>
      <c r="L1222" s="4">
        <v>720000</v>
      </c>
      <c r="M1222" s="1">
        <f>O1222*J1222*K1222</f>
        <v>0</v>
      </c>
      <c r="N1222" s="3"/>
      <c r="O1222" s="2">
        <f>L1222/J1222*(1-K1222)</f>
        <v>180000</v>
      </c>
    </row>
    <row r="1223" ht="14.25">
      <c r="A1223" s="3" t="s">
        <v>552</v>
      </c>
      <c r="B1223" s="3" t="s">
        <v>552</v>
      </c>
      <c r="C1223" s="3" t="s">
        <v>968</v>
      </c>
      <c r="D1223" s="3" t="s">
        <v>17</v>
      </c>
      <c r="E1223" s="3" t="s">
        <v>53</v>
      </c>
      <c r="F1223" s="3" t="s">
        <v>19</v>
      </c>
      <c r="G1223" s="4">
        <v>0</v>
      </c>
      <c r="H1223" s="4">
        <v>6337048</v>
      </c>
      <c r="I1223" s="3" t="s">
        <v>319</v>
      </c>
      <c r="J1223" s="4">
        <v>3</v>
      </c>
      <c r="K1223" s="3" t="s">
        <v>21</v>
      </c>
      <c r="L1223" s="4">
        <v>735000</v>
      </c>
      <c r="M1223" s="1">
        <f>O1223*J1223*K1223</f>
        <v>0</v>
      </c>
      <c r="N1223" s="3"/>
      <c r="O1223" s="2">
        <f>L1223/J1223*(1-K1223)</f>
        <v>245000</v>
      </c>
    </row>
    <row r="1224" ht="14.25">
      <c r="A1224" s="3" t="s">
        <v>552</v>
      </c>
      <c r="B1224" s="3" t="s">
        <v>552</v>
      </c>
      <c r="C1224" s="3" t="s">
        <v>968</v>
      </c>
      <c r="D1224" s="3" t="s">
        <v>17</v>
      </c>
      <c r="E1224" s="3" t="s">
        <v>53</v>
      </c>
      <c r="F1224" s="3" t="s">
        <v>19</v>
      </c>
      <c r="G1224" s="4">
        <v>0</v>
      </c>
      <c r="H1224" s="4">
        <v>6337048</v>
      </c>
      <c r="I1224" s="3" t="s">
        <v>179</v>
      </c>
      <c r="J1224" s="4">
        <v>8</v>
      </c>
      <c r="K1224" s="3" t="s">
        <v>21</v>
      </c>
      <c r="L1224" s="4">
        <v>1960000</v>
      </c>
      <c r="M1224" s="1">
        <f>O1224*J1224*K1224</f>
        <v>0</v>
      </c>
      <c r="N1224" s="3"/>
      <c r="O1224" s="2">
        <f>L1224/J1224*(1-K1224)</f>
        <v>245000</v>
      </c>
    </row>
    <row r="1225" ht="14.25">
      <c r="A1225" s="3" t="s">
        <v>552</v>
      </c>
      <c r="B1225" s="3" t="s">
        <v>552</v>
      </c>
      <c r="C1225" s="3" t="s">
        <v>968</v>
      </c>
      <c r="D1225" s="3" t="s">
        <v>17</v>
      </c>
      <c r="E1225" s="3" t="s">
        <v>53</v>
      </c>
      <c r="F1225" s="3" t="s">
        <v>19</v>
      </c>
      <c r="G1225" s="4">
        <v>0</v>
      </c>
      <c r="H1225" s="4">
        <v>6337048</v>
      </c>
      <c r="I1225" s="3" t="s">
        <v>844</v>
      </c>
      <c r="J1225" s="4">
        <v>1</v>
      </c>
      <c r="K1225" s="3" t="s">
        <v>21</v>
      </c>
      <c r="L1225" s="4">
        <v>620000</v>
      </c>
      <c r="M1225" s="1">
        <f>O1225*J1225*K1225</f>
        <v>0</v>
      </c>
      <c r="N1225" s="3"/>
      <c r="O1225" s="2">
        <f>L1225/J1225*(1-K1225)</f>
        <v>620000</v>
      </c>
    </row>
    <row r="1226" ht="14.25">
      <c r="A1226" s="3" t="s">
        <v>552</v>
      </c>
      <c r="B1226" s="3" t="s">
        <v>961</v>
      </c>
      <c r="C1226" s="3" t="s">
        <v>969</v>
      </c>
      <c r="D1226" s="3" t="s">
        <v>17</v>
      </c>
      <c r="E1226" s="3" t="s">
        <v>970</v>
      </c>
      <c r="F1226" s="3" t="s">
        <v>19</v>
      </c>
      <c r="G1226" s="4">
        <v>0</v>
      </c>
      <c r="H1226" s="4">
        <v>10664000</v>
      </c>
      <c r="I1226" s="3" t="s">
        <v>39</v>
      </c>
      <c r="J1226" s="4">
        <v>1</v>
      </c>
      <c r="K1226" s="3" t="s">
        <v>21</v>
      </c>
      <c r="L1226" s="4">
        <v>3800000</v>
      </c>
      <c r="M1226" s="1">
        <f>O1226*J1226*K1226</f>
        <v>0</v>
      </c>
      <c r="N1226" s="3"/>
      <c r="O1226" s="2">
        <f>L1226/J1226*(1-K1226)</f>
        <v>3800000</v>
      </c>
    </row>
    <row r="1227" ht="14.25">
      <c r="A1227" s="3" t="s">
        <v>552</v>
      </c>
      <c r="B1227" s="3" t="s">
        <v>961</v>
      </c>
      <c r="C1227" s="3" t="s">
        <v>969</v>
      </c>
      <c r="D1227" s="3" t="s">
        <v>17</v>
      </c>
      <c r="E1227" s="3" t="s">
        <v>970</v>
      </c>
      <c r="F1227" s="3" t="s">
        <v>19</v>
      </c>
      <c r="G1227" s="4">
        <v>0</v>
      </c>
      <c r="H1227" s="4">
        <v>10664000</v>
      </c>
      <c r="I1227" s="3" t="s">
        <v>144</v>
      </c>
      <c r="J1227" s="4">
        <v>24</v>
      </c>
      <c r="K1227" s="3" t="s">
        <v>21</v>
      </c>
      <c r="L1227" s="4">
        <v>1680000</v>
      </c>
      <c r="M1227" s="1">
        <f>O1227*J1227*K1227</f>
        <v>0</v>
      </c>
      <c r="N1227" s="3"/>
      <c r="O1227" s="2">
        <f>L1227/J1227*(1-K1227)</f>
        <v>70000</v>
      </c>
    </row>
    <row r="1228" ht="14.25">
      <c r="A1228" s="3" t="s">
        <v>552</v>
      </c>
      <c r="B1228" s="3" t="s">
        <v>961</v>
      </c>
      <c r="C1228" s="3" t="s">
        <v>969</v>
      </c>
      <c r="D1228" s="3" t="s">
        <v>17</v>
      </c>
      <c r="E1228" s="3" t="s">
        <v>970</v>
      </c>
      <c r="F1228" s="3" t="s">
        <v>19</v>
      </c>
      <c r="G1228" s="4">
        <v>0</v>
      </c>
      <c r="H1228" s="4">
        <v>10664000</v>
      </c>
      <c r="I1228" s="3" t="s">
        <v>474</v>
      </c>
      <c r="J1228" s="4">
        <v>4</v>
      </c>
      <c r="K1228" s="3" t="s">
        <v>21</v>
      </c>
      <c r="L1228" s="4">
        <v>1480000</v>
      </c>
      <c r="M1228" s="1">
        <f>O1228*J1228*K1228</f>
        <v>0</v>
      </c>
      <c r="N1228" s="3"/>
      <c r="O1228" s="2">
        <f>L1228/J1228*(1-K1228)</f>
        <v>370000</v>
      </c>
    </row>
    <row r="1229" ht="14.25">
      <c r="A1229" s="3" t="s">
        <v>552</v>
      </c>
      <c r="B1229" s="3" t="s">
        <v>961</v>
      </c>
      <c r="C1229" s="3" t="s">
        <v>969</v>
      </c>
      <c r="D1229" s="3" t="s">
        <v>17</v>
      </c>
      <c r="E1229" s="3" t="s">
        <v>970</v>
      </c>
      <c r="F1229" s="3" t="s">
        <v>19</v>
      </c>
      <c r="G1229" s="4">
        <v>0</v>
      </c>
      <c r="H1229" s="4">
        <v>10664000</v>
      </c>
      <c r="I1229" s="3" t="s">
        <v>377</v>
      </c>
      <c r="J1229" s="4">
        <v>24</v>
      </c>
      <c r="K1229" s="3" t="s">
        <v>21</v>
      </c>
      <c r="L1229" s="4">
        <v>648000</v>
      </c>
      <c r="M1229" s="1">
        <f>O1229*J1229*K1229</f>
        <v>0</v>
      </c>
      <c r="N1229" s="3"/>
      <c r="O1229" s="2">
        <f>L1229/J1229*(1-K1229)</f>
        <v>27000</v>
      </c>
    </row>
    <row r="1230" ht="14.25">
      <c r="A1230" s="3" t="s">
        <v>552</v>
      </c>
      <c r="B1230" s="3" t="s">
        <v>961</v>
      </c>
      <c r="C1230" s="3" t="s">
        <v>969</v>
      </c>
      <c r="D1230" s="3" t="s">
        <v>17</v>
      </c>
      <c r="E1230" s="3" t="s">
        <v>970</v>
      </c>
      <c r="F1230" s="3" t="s">
        <v>19</v>
      </c>
      <c r="G1230" s="4">
        <v>0</v>
      </c>
      <c r="H1230" s="4">
        <v>10664000</v>
      </c>
      <c r="I1230" s="3" t="s">
        <v>415</v>
      </c>
      <c r="J1230" s="4">
        <v>12</v>
      </c>
      <c r="K1230" s="3" t="s">
        <v>21</v>
      </c>
      <c r="L1230" s="4">
        <v>456000</v>
      </c>
      <c r="M1230" s="1">
        <f>O1230*J1230*K1230</f>
        <v>0</v>
      </c>
      <c r="N1230" s="3"/>
      <c r="O1230" s="2">
        <f>L1230/J1230*(1-K1230)</f>
        <v>38000</v>
      </c>
    </row>
    <row r="1231" ht="14.25">
      <c r="A1231" s="3" t="s">
        <v>552</v>
      </c>
      <c r="B1231" s="3" t="s">
        <v>961</v>
      </c>
      <c r="C1231" s="3" t="s">
        <v>969</v>
      </c>
      <c r="D1231" s="3" t="s">
        <v>17</v>
      </c>
      <c r="E1231" s="3" t="s">
        <v>970</v>
      </c>
      <c r="F1231" s="3" t="s">
        <v>19</v>
      </c>
      <c r="G1231" s="4">
        <v>0</v>
      </c>
      <c r="H1231" s="4">
        <v>10664000</v>
      </c>
      <c r="I1231" s="3" t="s">
        <v>319</v>
      </c>
      <c r="J1231" s="4">
        <v>10</v>
      </c>
      <c r="K1231" s="3" t="s">
        <v>21</v>
      </c>
      <c r="L1231" s="4">
        <v>2600000</v>
      </c>
      <c r="M1231" s="1">
        <f>O1231*J1231*K1231</f>
        <v>0</v>
      </c>
      <c r="N1231" s="3"/>
      <c r="O1231" s="2">
        <f>L1231/J1231*(1-K1231)</f>
        <v>260000</v>
      </c>
    </row>
    <row r="1232" ht="14.25">
      <c r="A1232" s="3" t="s">
        <v>552</v>
      </c>
      <c r="B1232" s="3" t="s">
        <v>552</v>
      </c>
      <c r="C1232" s="3" t="s">
        <v>971</v>
      </c>
      <c r="D1232" s="3" t="s">
        <v>17</v>
      </c>
      <c r="E1232" s="3" t="s">
        <v>360</v>
      </c>
      <c r="F1232" s="3" t="s">
        <v>19</v>
      </c>
      <c r="G1232" s="4">
        <v>0</v>
      </c>
      <c r="H1232" s="4">
        <v>1152000</v>
      </c>
      <c r="I1232" s="3" t="s">
        <v>166</v>
      </c>
      <c r="J1232" s="4">
        <v>96</v>
      </c>
      <c r="K1232" s="3" t="s">
        <v>21</v>
      </c>
      <c r="L1232" s="4">
        <v>1152000</v>
      </c>
      <c r="M1232" s="1">
        <f>O1232*J1232*K1232</f>
        <v>0</v>
      </c>
      <c r="N1232" s="3"/>
      <c r="O1232" s="2">
        <f>L1232/J1232*(1-K1232)</f>
        <v>12000</v>
      </c>
    </row>
    <row r="1233" ht="14.25">
      <c r="A1233" s="3" t="s">
        <v>552</v>
      </c>
      <c r="B1233" s="3" t="s">
        <v>739</v>
      </c>
      <c r="C1233" s="3" t="s">
        <v>972</v>
      </c>
      <c r="D1233" s="3" t="s">
        <v>17</v>
      </c>
      <c r="E1233" s="3" t="s">
        <v>107</v>
      </c>
      <c r="F1233" s="3" t="s">
        <v>19</v>
      </c>
      <c r="G1233" s="4">
        <v>0</v>
      </c>
      <c r="H1233" s="4">
        <v>17327416</v>
      </c>
      <c r="I1233" s="3" t="s">
        <v>47</v>
      </c>
      <c r="J1233" s="4">
        <v>72</v>
      </c>
      <c r="K1233" s="3" t="s">
        <v>21</v>
      </c>
      <c r="L1233" s="4">
        <v>1920024</v>
      </c>
      <c r="M1233" s="1">
        <f>O1233*J1233*K1233</f>
        <v>0</v>
      </c>
      <c r="N1233" s="3"/>
      <c r="O1233" s="2">
        <f>L1233/J1233*(1-K1233)</f>
        <v>26667</v>
      </c>
    </row>
    <row r="1234" ht="14.25">
      <c r="A1234" s="3" t="s">
        <v>552</v>
      </c>
      <c r="B1234" s="3" t="s">
        <v>739</v>
      </c>
      <c r="C1234" s="3" t="s">
        <v>972</v>
      </c>
      <c r="D1234" s="3" t="s">
        <v>17</v>
      </c>
      <c r="E1234" s="3" t="s">
        <v>107</v>
      </c>
      <c r="F1234" s="3" t="s">
        <v>19</v>
      </c>
      <c r="G1234" s="4">
        <v>0</v>
      </c>
      <c r="H1234" s="4">
        <v>17327416</v>
      </c>
      <c r="I1234" s="3" t="s">
        <v>45</v>
      </c>
      <c r="J1234" s="4">
        <v>72</v>
      </c>
      <c r="K1234" s="3" t="s">
        <v>21</v>
      </c>
      <c r="L1234" s="4">
        <v>1920024</v>
      </c>
      <c r="M1234" s="1">
        <f>O1234*J1234*K1234</f>
        <v>0</v>
      </c>
      <c r="N1234" s="3"/>
      <c r="O1234" s="2">
        <f>L1234/J1234*(1-K1234)</f>
        <v>26667</v>
      </c>
    </row>
    <row r="1235" ht="14.25">
      <c r="A1235" s="3" t="s">
        <v>552</v>
      </c>
      <c r="B1235" s="3" t="s">
        <v>739</v>
      </c>
      <c r="C1235" s="3" t="s">
        <v>972</v>
      </c>
      <c r="D1235" s="3" t="s">
        <v>17</v>
      </c>
      <c r="E1235" s="3" t="s">
        <v>107</v>
      </c>
      <c r="F1235" s="3" t="s">
        <v>19</v>
      </c>
      <c r="G1235" s="4">
        <v>0</v>
      </c>
      <c r="H1235" s="4">
        <v>17327416</v>
      </c>
      <c r="I1235" s="3" t="s">
        <v>885</v>
      </c>
      <c r="J1235" s="4">
        <v>48</v>
      </c>
      <c r="K1235" s="3" t="s">
        <v>21</v>
      </c>
      <c r="L1235" s="4">
        <v>1600032</v>
      </c>
      <c r="M1235" s="1">
        <f>O1235*J1235*K1235</f>
        <v>0</v>
      </c>
      <c r="N1235" s="3"/>
      <c r="O1235" s="2">
        <f>L1235/J1235*(1-K1235)</f>
        <v>33334</v>
      </c>
    </row>
    <row r="1236" ht="14.25">
      <c r="A1236" s="3" t="s">
        <v>552</v>
      </c>
      <c r="B1236" s="3" t="s">
        <v>739</v>
      </c>
      <c r="C1236" s="3" t="s">
        <v>972</v>
      </c>
      <c r="D1236" s="3" t="s">
        <v>17</v>
      </c>
      <c r="E1236" s="3" t="s">
        <v>107</v>
      </c>
      <c r="F1236" s="3" t="s">
        <v>19</v>
      </c>
      <c r="G1236" s="4">
        <v>0</v>
      </c>
      <c r="H1236" s="4">
        <v>17327416</v>
      </c>
      <c r="I1236" s="3" t="s">
        <v>884</v>
      </c>
      <c r="J1236" s="4">
        <v>72</v>
      </c>
      <c r="K1236" s="3" t="s">
        <v>21</v>
      </c>
      <c r="L1236" s="4">
        <v>2040048</v>
      </c>
      <c r="M1236" s="1">
        <f>O1236*J1236*K1236</f>
        <v>0</v>
      </c>
      <c r="N1236" s="3"/>
      <c r="O1236" s="2">
        <f>L1236/J1236*(1-K1236)</f>
        <v>28334</v>
      </c>
    </row>
    <row r="1237" ht="14.25">
      <c r="A1237" s="3" t="s">
        <v>552</v>
      </c>
      <c r="B1237" s="3" t="s">
        <v>739</v>
      </c>
      <c r="C1237" s="3" t="s">
        <v>972</v>
      </c>
      <c r="D1237" s="3" t="s">
        <v>17</v>
      </c>
      <c r="E1237" s="3" t="s">
        <v>107</v>
      </c>
      <c r="F1237" s="3" t="s">
        <v>19</v>
      </c>
      <c r="G1237" s="4">
        <v>0</v>
      </c>
      <c r="H1237" s="4">
        <v>17327416</v>
      </c>
      <c r="I1237" s="3" t="s">
        <v>419</v>
      </c>
      <c r="J1237" s="4">
        <v>72</v>
      </c>
      <c r="K1237" s="3" t="s">
        <v>21</v>
      </c>
      <c r="L1237" s="4">
        <v>2040048</v>
      </c>
      <c r="M1237" s="1">
        <f>O1237*J1237*K1237</f>
        <v>0</v>
      </c>
      <c r="N1237" s="3"/>
      <c r="O1237" s="2">
        <f>L1237/J1237*(1-K1237)</f>
        <v>28334</v>
      </c>
    </row>
    <row r="1238" ht="14.25">
      <c r="A1238" s="3" t="s">
        <v>552</v>
      </c>
      <c r="B1238" s="3" t="s">
        <v>739</v>
      </c>
      <c r="C1238" s="3" t="s">
        <v>972</v>
      </c>
      <c r="D1238" s="3" t="s">
        <v>17</v>
      </c>
      <c r="E1238" s="3" t="s">
        <v>107</v>
      </c>
      <c r="F1238" s="3" t="s">
        <v>19</v>
      </c>
      <c r="G1238" s="4">
        <v>0</v>
      </c>
      <c r="H1238" s="4">
        <v>17327416</v>
      </c>
      <c r="I1238" s="3" t="s">
        <v>166</v>
      </c>
      <c r="J1238" s="4">
        <v>48</v>
      </c>
      <c r="K1238" s="3" t="s">
        <v>21</v>
      </c>
      <c r="L1238" s="4">
        <v>596160</v>
      </c>
      <c r="M1238" s="1">
        <f>O1238*J1238*K1238</f>
        <v>0</v>
      </c>
      <c r="N1238" s="3"/>
      <c r="O1238" s="2">
        <f>L1238/J1238*(1-K1238)</f>
        <v>12420</v>
      </c>
    </row>
    <row r="1239" ht="14.25">
      <c r="A1239" s="3" t="s">
        <v>552</v>
      </c>
      <c r="B1239" s="3" t="s">
        <v>739</v>
      </c>
      <c r="C1239" s="3" t="s">
        <v>972</v>
      </c>
      <c r="D1239" s="3" t="s">
        <v>17</v>
      </c>
      <c r="E1239" s="3" t="s">
        <v>107</v>
      </c>
      <c r="F1239" s="3" t="s">
        <v>19</v>
      </c>
      <c r="G1239" s="4">
        <v>0</v>
      </c>
      <c r="H1239" s="4">
        <v>17327416</v>
      </c>
      <c r="I1239" s="3" t="s">
        <v>223</v>
      </c>
      <c r="J1239" s="4">
        <v>12</v>
      </c>
      <c r="K1239" s="3" t="s">
        <v>21</v>
      </c>
      <c r="L1239" s="4">
        <v>756000</v>
      </c>
      <c r="M1239" s="1">
        <f>O1239*J1239*K1239</f>
        <v>0</v>
      </c>
      <c r="N1239" s="3"/>
      <c r="O1239" s="2">
        <f>L1239/J1239*(1-K1239)</f>
        <v>63000</v>
      </c>
    </row>
    <row r="1240" ht="14.25">
      <c r="A1240" s="3" t="s">
        <v>552</v>
      </c>
      <c r="B1240" s="3" t="s">
        <v>739</v>
      </c>
      <c r="C1240" s="3" t="s">
        <v>972</v>
      </c>
      <c r="D1240" s="3" t="s">
        <v>17</v>
      </c>
      <c r="E1240" s="3" t="s">
        <v>107</v>
      </c>
      <c r="F1240" s="3" t="s">
        <v>19</v>
      </c>
      <c r="G1240" s="4">
        <v>0</v>
      </c>
      <c r="H1240" s="4">
        <v>17327416</v>
      </c>
      <c r="I1240" s="3" t="s">
        <v>114</v>
      </c>
      <c r="J1240" s="4">
        <v>36</v>
      </c>
      <c r="K1240" s="3" t="s">
        <v>21</v>
      </c>
      <c r="L1240" s="4">
        <v>1455012</v>
      </c>
      <c r="M1240" s="1">
        <f>O1240*J1240*K1240</f>
        <v>0</v>
      </c>
      <c r="N1240" s="3"/>
      <c r="O1240" s="2">
        <f>L1240/J1240*(1-K1240)</f>
        <v>40417</v>
      </c>
    </row>
    <row r="1241" ht="14.25">
      <c r="A1241" s="3" t="s">
        <v>552</v>
      </c>
      <c r="B1241" s="3" t="s">
        <v>739</v>
      </c>
      <c r="C1241" s="3" t="s">
        <v>972</v>
      </c>
      <c r="D1241" s="3" t="s">
        <v>17</v>
      </c>
      <c r="E1241" s="3" t="s">
        <v>107</v>
      </c>
      <c r="F1241" s="3" t="s">
        <v>19</v>
      </c>
      <c r="G1241" s="4">
        <v>0</v>
      </c>
      <c r="H1241" s="4">
        <v>17327416</v>
      </c>
      <c r="I1241" s="3" t="s">
        <v>367</v>
      </c>
      <c r="J1241" s="4">
        <v>12</v>
      </c>
      <c r="K1241" s="3" t="s">
        <v>21</v>
      </c>
      <c r="L1241" s="4">
        <v>380004</v>
      </c>
      <c r="M1241" s="1">
        <f>O1241*J1241*K1241</f>
        <v>0</v>
      </c>
      <c r="N1241" s="3"/>
      <c r="O1241" s="2">
        <f>L1241/J1241*(1-K1241)</f>
        <v>31667</v>
      </c>
    </row>
    <row r="1242" ht="14.25">
      <c r="A1242" s="3" t="s">
        <v>552</v>
      </c>
      <c r="B1242" s="3" t="s">
        <v>739</v>
      </c>
      <c r="C1242" s="3" t="s">
        <v>972</v>
      </c>
      <c r="D1242" s="3" t="s">
        <v>17</v>
      </c>
      <c r="E1242" s="3" t="s">
        <v>107</v>
      </c>
      <c r="F1242" s="3" t="s">
        <v>19</v>
      </c>
      <c r="G1242" s="4">
        <v>0</v>
      </c>
      <c r="H1242" s="4">
        <v>17327416</v>
      </c>
      <c r="I1242" s="3" t="s">
        <v>129</v>
      </c>
      <c r="J1242" s="4">
        <v>20</v>
      </c>
      <c r="K1242" s="3" t="s">
        <v>21</v>
      </c>
      <c r="L1242" s="4">
        <v>1540060</v>
      </c>
      <c r="M1242" s="1">
        <f>O1242*J1242*K1242</f>
        <v>0</v>
      </c>
      <c r="N1242" s="3"/>
      <c r="O1242" s="2">
        <f>L1242/J1242*(1-K1242)</f>
        <v>77003</v>
      </c>
    </row>
    <row r="1243" ht="14.25">
      <c r="A1243" s="3" t="s">
        <v>552</v>
      </c>
      <c r="B1243" s="3" t="s">
        <v>739</v>
      </c>
      <c r="C1243" s="3" t="s">
        <v>972</v>
      </c>
      <c r="D1243" s="3" t="s">
        <v>17</v>
      </c>
      <c r="E1243" s="3" t="s">
        <v>107</v>
      </c>
      <c r="F1243" s="3" t="s">
        <v>19</v>
      </c>
      <c r="G1243" s="4">
        <v>0</v>
      </c>
      <c r="H1243" s="4">
        <v>17327416</v>
      </c>
      <c r="I1243" s="3" t="s">
        <v>113</v>
      </c>
      <c r="J1243" s="4">
        <v>12</v>
      </c>
      <c r="K1243" s="3" t="s">
        <v>21</v>
      </c>
      <c r="L1243" s="4">
        <v>380004</v>
      </c>
      <c r="M1243" s="1">
        <f>O1243*J1243*K1243</f>
        <v>0</v>
      </c>
      <c r="N1243" s="3"/>
      <c r="O1243" s="2">
        <f>L1243/J1243*(1-K1243)</f>
        <v>31667</v>
      </c>
    </row>
    <row r="1244" ht="14.25">
      <c r="A1244" s="3" t="s">
        <v>552</v>
      </c>
      <c r="B1244" s="3" t="s">
        <v>739</v>
      </c>
      <c r="C1244" s="3" t="s">
        <v>972</v>
      </c>
      <c r="D1244" s="3" t="s">
        <v>17</v>
      </c>
      <c r="E1244" s="3" t="s">
        <v>107</v>
      </c>
      <c r="F1244" s="3" t="s">
        <v>19</v>
      </c>
      <c r="G1244" s="4">
        <v>0</v>
      </c>
      <c r="H1244" s="4">
        <v>17327416</v>
      </c>
      <c r="I1244" s="3" t="s">
        <v>32</v>
      </c>
      <c r="J1244" s="4">
        <v>120</v>
      </c>
      <c r="K1244" s="3" t="s">
        <v>21</v>
      </c>
      <c r="L1244" s="4">
        <v>2700000</v>
      </c>
      <c r="M1244" s="1">
        <f>O1244*J1244*K1244</f>
        <v>0</v>
      </c>
      <c r="N1244" s="3"/>
      <c r="O1244" s="2">
        <f>L1244/J1244*(1-K1244)</f>
        <v>22500</v>
      </c>
    </row>
    <row r="1245" ht="14.25">
      <c r="A1245" s="3" t="s">
        <v>552</v>
      </c>
      <c r="B1245" s="3" t="s">
        <v>973</v>
      </c>
      <c r="C1245" s="3" t="s">
        <v>974</v>
      </c>
      <c r="D1245" s="3" t="s">
        <v>17</v>
      </c>
      <c r="E1245" s="3" t="s">
        <v>975</v>
      </c>
      <c r="F1245" s="3" t="s">
        <v>19</v>
      </c>
      <c r="G1245" s="4">
        <v>0</v>
      </c>
      <c r="H1245" s="4">
        <v>3800000</v>
      </c>
      <c r="I1245" s="3" t="s">
        <v>39</v>
      </c>
      <c r="J1245" s="4">
        <v>1</v>
      </c>
      <c r="K1245" s="3" t="s">
        <v>21</v>
      </c>
      <c r="L1245" s="4">
        <v>3800000</v>
      </c>
      <c r="M1245" s="1">
        <f>O1245*J1245*K1245</f>
        <v>0</v>
      </c>
      <c r="N1245" s="3"/>
      <c r="O1245" s="2">
        <f>L1245/J1245*(1-K1245)</f>
        <v>3800000</v>
      </c>
    </row>
    <row r="1246" ht="14.25">
      <c r="A1246" s="3" t="s">
        <v>552</v>
      </c>
      <c r="B1246" s="3" t="s">
        <v>961</v>
      </c>
      <c r="C1246" s="3" t="s">
        <v>976</v>
      </c>
      <c r="D1246" s="3" t="s">
        <v>17</v>
      </c>
      <c r="E1246" s="3" t="s">
        <v>168</v>
      </c>
      <c r="F1246" s="3" t="s">
        <v>19</v>
      </c>
      <c r="G1246" s="4">
        <v>0</v>
      </c>
      <c r="H1246" s="4">
        <v>11120000</v>
      </c>
      <c r="I1246" s="3" t="s">
        <v>415</v>
      </c>
      <c r="J1246" s="4">
        <v>24</v>
      </c>
      <c r="K1246" s="3" t="s">
        <v>21</v>
      </c>
      <c r="L1246" s="4">
        <v>864000</v>
      </c>
      <c r="M1246" s="1">
        <f>O1246*J1246*K1246</f>
        <v>0</v>
      </c>
      <c r="N1246" s="3"/>
      <c r="O1246" s="2">
        <f>L1246/J1246*(1-K1246)</f>
        <v>36000</v>
      </c>
    </row>
    <row r="1247" ht="14.25">
      <c r="A1247" s="3" t="s">
        <v>552</v>
      </c>
      <c r="B1247" s="3" t="s">
        <v>961</v>
      </c>
      <c r="C1247" s="3" t="s">
        <v>976</v>
      </c>
      <c r="D1247" s="3" t="s">
        <v>17</v>
      </c>
      <c r="E1247" s="3" t="s">
        <v>168</v>
      </c>
      <c r="F1247" s="3" t="s">
        <v>19</v>
      </c>
      <c r="G1247" s="4">
        <v>0</v>
      </c>
      <c r="H1247" s="4">
        <v>11120000</v>
      </c>
      <c r="I1247" s="3" t="s">
        <v>395</v>
      </c>
      <c r="J1247" s="4">
        <v>18</v>
      </c>
      <c r="K1247" s="3" t="s">
        <v>21</v>
      </c>
      <c r="L1247" s="4">
        <v>2250000</v>
      </c>
      <c r="M1247" s="1">
        <f>O1247*J1247*K1247</f>
        <v>0</v>
      </c>
      <c r="N1247" s="3"/>
      <c r="O1247" s="2">
        <f>L1247/J1247*(1-K1247)</f>
        <v>125000</v>
      </c>
    </row>
    <row r="1248" ht="14.25">
      <c r="A1248" s="3" t="s">
        <v>552</v>
      </c>
      <c r="B1248" s="3" t="s">
        <v>961</v>
      </c>
      <c r="C1248" s="3" t="s">
        <v>976</v>
      </c>
      <c r="D1248" s="3" t="s">
        <v>17</v>
      </c>
      <c r="E1248" s="3" t="s">
        <v>168</v>
      </c>
      <c r="F1248" s="3" t="s">
        <v>19</v>
      </c>
      <c r="G1248" s="4">
        <v>0</v>
      </c>
      <c r="H1248" s="4">
        <v>11120000</v>
      </c>
      <c r="I1248" s="3" t="s">
        <v>297</v>
      </c>
      <c r="J1248" s="4">
        <v>4</v>
      </c>
      <c r="K1248" s="3" t="s">
        <v>21</v>
      </c>
      <c r="L1248" s="4">
        <v>800000</v>
      </c>
      <c r="M1248" s="1">
        <f>O1248*J1248*K1248</f>
        <v>0</v>
      </c>
      <c r="N1248" s="3"/>
      <c r="O1248" s="2">
        <f>L1248/J1248*(1-K1248)</f>
        <v>200000</v>
      </c>
    </row>
    <row r="1249" ht="14.25">
      <c r="A1249" s="3" t="s">
        <v>552</v>
      </c>
      <c r="B1249" s="3" t="s">
        <v>961</v>
      </c>
      <c r="C1249" s="3" t="s">
        <v>976</v>
      </c>
      <c r="D1249" s="3" t="s">
        <v>17</v>
      </c>
      <c r="E1249" s="3" t="s">
        <v>168</v>
      </c>
      <c r="F1249" s="3" t="s">
        <v>19</v>
      </c>
      <c r="G1249" s="4">
        <v>0</v>
      </c>
      <c r="H1249" s="4">
        <v>11120000</v>
      </c>
      <c r="I1249" s="3" t="s">
        <v>649</v>
      </c>
      <c r="J1249" s="4">
        <v>8</v>
      </c>
      <c r="K1249" s="3" t="s">
        <v>21</v>
      </c>
      <c r="L1249" s="4">
        <v>1400000</v>
      </c>
      <c r="M1249" s="1">
        <f>O1249*J1249*K1249</f>
        <v>0</v>
      </c>
      <c r="N1249" s="3"/>
      <c r="O1249" s="2">
        <f>L1249/J1249*(1-K1249)</f>
        <v>175000</v>
      </c>
    </row>
    <row r="1250" ht="14.25">
      <c r="A1250" s="3" t="s">
        <v>552</v>
      </c>
      <c r="B1250" s="3" t="s">
        <v>961</v>
      </c>
      <c r="C1250" s="3" t="s">
        <v>976</v>
      </c>
      <c r="D1250" s="3" t="s">
        <v>17</v>
      </c>
      <c r="E1250" s="3" t="s">
        <v>168</v>
      </c>
      <c r="F1250" s="3" t="s">
        <v>19</v>
      </c>
      <c r="G1250" s="4">
        <v>0</v>
      </c>
      <c r="H1250" s="4">
        <v>11120000</v>
      </c>
      <c r="I1250" s="3" t="s">
        <v>124</v>
      </c>
      <c r="J1250" s="4">
        <v>36</v>
      </c>
      <c r="K1250" s="3" t="s">
        <v>21</v>
      </c>
      <c r="L1250" s="4">
        <v>828000</v>
      </c>
      <c r="M1250" s="1">
        <f>O1250*J1250*K1250</f>
        <v>0</v>
      </c>
      <c r="N1250" s="3"/>
      <c r="O1250" s="2">
        <f>L1250/J1250*(1-K1250)</f>
        <v>23000</v>
      </c>
    </row>
    <row r="1251" ht="14.25">
      <c r="A1251" s="3" t="s">
        <v>552</v>
      </c>
      <c r="B1251" s="3" t="s">
        <v>961</v>
      </c>
      <c r="C1251" s="3" t="s">
        <v>976</v>
      </c>
      <c r="D1251" s="3" t="s">
        <v>17</v>
      </c>
      <c r="E1251" s="3" t="s">
        <v>168</v>
      </c>
      <c r="F1251" s="3" t="s">
        <v>19</v>
      </c>
      <c r="G1251" s="4">
        <v>0</v>
      </c>
      <c r="H1251" s="4">
        <v>11120000</v>
      </c>
      <c r="I1251" s="3" t="s">
        <v>37</v>
      </c>
      <c r="J1251" s="4">
        <v>36</v>
      </c>
      <c r="K1251" s="3" t="s">
        <v>21</v>
      </c>
      <c r="L1251" s="4">
        <v>828000</v>
      </c>
      <c r="M1251" s="1">
        <f>O1251*J1251*K1251</f>
        <v>0</v>
      </c>
      <c r="N1251" s="3"/>
      <c r="O1251" s="2">
        <f>L1251/J1251*(1-K1251)</f>
        <v>23000</v>
      </c>
    </row>
    <row r="1252" ht="14.25">
      <c r="A1252" s="3" t="s">
        <v>552</v>
      </c>
      <c r="B1252" s="3" t="s">
        <v>961</v>
      </c>
      <c r="C1252" s="3" t="s">
        <v>976</v>
      </c>
      <c r="D1252" s="3" t="s">
        <v>17</v>
      </c>
      <c r="E1252" s="3" t="s">
        <v>168</v>
      </c>
      <c r="F1252" s="3" t="s">
        <v>19</v>
      </c>
      <c r="G1252" s="4">
        <v>0</v>
      </c>
      <c r="H1252" s="4">
        <v>11120000</v>
      </c>
      <c r="I1252" s="3" t="s">
        <v>467</v>
      </c>
      <c r="J1252" s="4">
        <v>60</v>
      </c>
      <c r="K1252" s="3" t="s">
        <v>21</v>
      </c>
      <c r="L1252" s="4">
        <v>2010000</v>
      </c>
      <c r="M1252" s="1">
        <f>O1252*J1252*K1252</f>
        <v>0</v>
      </c>
      <c r="N1252" s="3"/>
      <c r="O1252" s="2">
        <f>L1252/J1252*(1-K1252)</f>
        <v>33500</v>
      </c>
    </row>
    <row r="1253" ht="14.25">
      <c r="A1253" s="3" t="s">
        <v>552</v>
      </c>
      <c r="B1253" s="3" t="s">
        <v>961</v>
      </c>
      <c r="C1253" s="3" t="s">
        <v>976</v>
      </c>
      <c r="D1253" s="3" t="s">
        <v>17</v>
      </c>
      <c r="E1253" s="3" t="s">
        <v>168</v>
      </c>
      <c r="F1253" s="3" t="s">
        <v>19</v>
      </c>
      <c r="G1253" s="4">
        <v>0</v>
      </c>
      <c r="H1253" s="4">
        <v>11120000</v>
      </c>
      <c r="I1253" s="3" t="s">
        <v>592</v>
      </c>
      <c r="J1253" s="4">
        <v>20</v>
      </c>
      <c r="K1253" s="3" t="s">
        <v>21</v>
      </c>
      <c r="L1253" s="4">
        <v>700000</v>
      </c>
      <c r="M1253" s="1">
        <f>O1253*J1253*K1253</f>
        <v>0</v>
      </c>
      <c r="N1253" s="3"/>
      <c r="O1253" s="2">
        <f>L1253/J1253*(1-K1253)</f>
        <v>35000</v>
      </c>
    </row>
    <row r="1254" ht="14.25">
      <c r="A1254" s="3" t="s">
        <v>552</v>
      </c>
      <c r="B1254" s="3" t="s">
        <v>961</v>
      </c>
      <c r="C1254" s="3" t="s">
        <v>976</v>
      </c>
      <c r="D1254" s="3" t="s">
        <v>17</v>
      </c>
      <c r="E1254" s="3" t="s">
        <v>168</v>
      </c>
      <c r="F1254" s="3" t="s">
        <v>19</v>
      </c>
      <c r="G1254" s="4">
        <v>0</v>
      </c>
      <c r="H1254" s="4">
        <v>11120000</v>
      </c>
      <c r="I1254" s="3" t="s">
        <v>475</v>
      </c>
      <c r="J1254" s="4">
        <v>40</v>
      </c>
      <c r="K1254" s="3" t="s">
        <v>21</v>
      </c>
      <c r="L1254" s="4">
        <v>1440000</v>
      </c>
      <c r="M1254" s="1">
        <f>O1254*J1254*K1254</f>
        <v>0</v>
      </c>
      <c r="N1254" s="3"/>
      <c r="O1254" s="2">
        <f>L1254/J1254*(1-K1254)</f>
        <v>36000</v>
      </c>
    </row>
    <row r="1255" ht="14.25">
      <c r="A1255" s="3" t="s">
        <v>552</v>
      </c>
      <c r="B1255" s="3" t="s">
        <v>961</v>
      </c>
      <c r="C1255" s="3" t="s">
        <v>977</v>
      </c>
      <c r="D1255" s="3" t="s">
        <v>17</v>
      </c>
      <c r="E1255" s="3" t="s">
        <v>978</v>
      </c>
      <c r="F1255" s="3" t="s">
        <v>19</v>
      </c>
      <c r="G1255" s="4">
        <v>0</v>
      </c>
      <c r="H1255" s="4">
        <v>3000000</v>
      </c>
      <c r="I1255" s="3" t="s">
        <v>108</v>
      </c>
      <c r="J1255" s="4">
        <v>120</v>
      </c>
      <c r="K1255" s="3" t="s">
        <v>21</v>
      </c>
      <c r="L1255" s="4">
        <v>3000000</v>
      </c>
      <c r="M1255" s="1">
        <f>O1255*J1255*K1255</f>
        <v>0</v>
      </c>
      <c r="N1255" s="3"/>
      <c r="O1255" s="2">
        <f>L1255/J1255*(1-K1255)</f>
        <v>25000</v>
      </c>
    </row>
    <row r="1256" ht="14.25">
      <c r="A1256" s="3" t="s">
        <v>552</v>
      </c>
      <c r="B1256" s="3" t="s">
        <v>552</v>
      </c>
      <c r="C1256" s="3" t="s">
        <v>979</v>
      </c>
      <c r="D1256" s="3" t="s">
        <v>17</v>
      </c>
      <c r="E1256" s="3" t="s">
        <v>980</v>
      </c>
      <c r="F1256" s="3" t="s">
        <v>19</v>
      </c>
      <c r="G1256" s="4">
        <v>0</v>
      </c>
      <c r="H1256" s="4">
        <v>97200</v>
      </c>
      <c r="I1256" s="3" t="s">
        <v>162</v>
      </c>
      <c r="J1256" s="4">
        <v>12</v>
      </c>
      <c r="K1256" s="3" t="s">
        <v>21</v>
      </c>
      <c r="L1256" s="4">
        <v>97200</v>
      </c>
      <c r="M1256" s="1">
        <f>O1256*J1256*K1256</f>
        <v>0</v>
      </c>
      <c r="N1256" s="3"/>
      <c r="O1256" s="2">
        <f>L1256/J1256*(1-K1256)</f>
        <v>8100</v>
      </c>
    </row>
    <row r="1257" ht="14.25">
      <c r="A1257" s="3" t="s">
        <v>552</v>
      </c>
      <c r="B1257" s="3" t="s">
        <v>961</v>
      </c>
      <c r="C1257" s="3" t="s">
        <v>981</v>
      </c>
      <c r="D1257" s="3" t="s">
        <v>17</v>
      </c>
      <c r="E1257" s="3" t="s">
        <v>34</v>
      </c>
      <c r="F1257" s="3" t="s">
        <v>19</v>
      </c>
      <c r="G1257" s="4">
        <v>0</v>
      </c>
      <c r="H1257" s="4">
        <v>12140440</v>
      </c>
      <c r="I1257" s="3" t="s">
        <v>497</v>
      </c>
      <c r="J1257" s="4">
        <v>2</v>
      </c>
      <c r="K1257" s="3" t="s">
        <v>21</v>
      </c>
      <c r="L1257" s="4">
        <v>7700000</v>
      </c>
      <c r="M1257" s="1">
        <f>O1257*J1257*K1257</f>
        <v>0</v>
      </c>
      <c r="N1257" s="3"/>
      <c r="O1257" s="2">
        <f>L1257/J1257*(1-K1257)</f>
        <v>3850000</v>
      </c>
    </row>
    <row r="1258" ht="14.25">
      <c r="A1258" s="3" t="s">
        <v>552</v>
      </c>
      <c r="B1258" s="3" t="s">
        <v>961</v>
      </c>
      <c r="C1258" s="3" t="s">
        <v>981</v>
      </c>
      <c r="D1258" s="3" t="s">
        <v>17</v>
      </c>
      <c r="E1258" s="3" t="s">
        <v>34</v>
      </c>
      <c r="F1258" s="3" t="s">
        <v>19</v>
      </c>
      <c r="G1258" s="4">
        <v>0</v>
      </c>
      <c r="H1258" s="4">
        <v>12140440</v>
      </c>
      <c r="I1258" s="3" t="s">
        <v>395</v>
      </c>
      <c r="J1258" s="4">
        <v>12</v>
      </c>
      <c r="K1258" s="3" t="s">
        <v>21</v>
      </c>
      <c r="L1258" s="4">
        <v>1500000</v>
      </c>
      <c r="M1258" s="1">
        <f>O1258*J1258*K1258</f>
        <v>0</v>
      </c>
      <c r="N1258" s="3"/>
      <c r="O1258" s="2">
        <f>L1258/J1258*(1-K1258)</f>
        <v>125000</v>
      </c>
    </row>
    <row r="1259" ht="14.25">
      <c r="A1259" s="3" t="s">
        <v>552</v>
      </c>
      <c r="B1259" s="3" t="s">
        <v>961</v>
      </c>
      <c r="C1259" s="3" t="s">
        <v>981</v>
      </c>
      <c r="D1259" s="3" t="s">
        <v>17</v>
      </c>
      <c r="E1259" s="3" t="s">
        <v>34</v>
      </c>
      <c r="F1259" s="3" t="s">
        <v>19</v>
      </c>
      <c r="G1259" s="4">
        <v>0</v>
      </c>
      <c r="H1259" s="4">
        <v>12140440</v>
      </c>
      <c r="I1259" s="3" t="s">
        <v>417</v>
      </c>
      <c r="J1259" s="4">
        <v>4</v>
      </c>
      <c r="K1259" s="3" t="s">
        <v>21</v>
      </c>
      <c r="L1259" s="4">
        <v>650000</v>
      </c>
      <c r="M1259" s="1">
        <f>O1259*J1259*K1259</f>
        <v>0</v>
      </c>
      <c r="N1259" s="3"/>
      <c r="O1259" s="2">
        <f>L1259/J1259*(1-K1259)</f>
        <v>162500</v>
      </c>
    </row>
    <row r="1260" ht="14.25">
      <c r="A1260" s="3" t="s">
        <v>552</v>
      </c>
      <c r="B1260" s="3" t="s">
        <v>961</v>
      </c>
      <c r="C1260" s="3" t="s">
        <v>981</v>
      </c>
      <c r="D1260" s="3" t="s">
        <v>17</v>
      </c>
      <c r="E1260" s="3" t="s">
        <v>34</v>
      </c>
      <c r="F1260" s="3" t="s">
        <v>19</v>
      </c>
      <c r="G1260" s="4">
        <v>0</v>
      </c>
      <c r="H1260" s="4">
        <v>12140440</v>
      </c>
      <c r="I1260" s="3" t="s">
        <v>381</v>
      </c>
      <c r="J1260" s="4">
        <v>20</v>
      </c>
      <c r="K1260" s="3" t="s">
        <v>21</v>
      </c>
      <c r="L1260" s="4">
        <v>630000</v>
      </c>
      <c r="M1260" s="1">
        <f>O1260*J1260*K1260</f>
        <v>0</v>
      </c>
      <c r="N1260" s="3"/>
      <c r="O1260" s="2">
        <f>L1260/J1260*(1-K1260)</f>
        <v>31500</v>
      </c>
    </row>
    <row r="1261" ht="14.25">
      <c r="A1261" s="3" t="s">
        <v>552</v>
      </c>
      <c r="B1261" s="3" t="s">
        <v>961</v>
      </c>
      <c r="C1261" s="3" t="s">
        <v>981</v>
      </c>
      <c r="D1261" s="3" t="s">
        <v>17</v>
      </c>
      <c r="E1261" s="3" t="s">
        <v>34</v>
      </c>
      <c r="F1261" s="3" t="s">
        <v>19</v>
      </c>
      <c r="G1261" s="4">
        <v>0</v>
      </c>
      <c r="H1261" s="4">
        <v>12140440</v>
      </c>
      <c r="I1261" s="3" t="s">
        <v>982</v>
      </c>
      <c r="J1261" s="4">
        <v>6</v>
      </c>
      <c r="K1261" s="3" t="s">
        <v>21</v>
      </c>
      <c r="L1261" s="4">
        <v>720000</v>
      </c>
      <c r="M1261" s="1">
        <f>O1261*J1261*K1261</f>
        <v>0</v>
      </c>
      <c r="N1261" s="3"/>
      <c r="O1261" s="2">
        <f>L1261/J1261*(1-K1261)</f>
        <v>120000</v>
      </c>
    </row>
    <row r="1262" ht="14.25">
      <c r="A1262" s="3" t="s">
        <v>552</v>
      </c>
      <c r="B1262" s="3" t="s">
        <v>961</v>
      </c>
      <c r="C1262" s="3" t="s">
        <v>981</v>
      </c>
      <c r="D1262" s="3" t="s">
        <v>17</v>
      </c>
      <c r="E1262" s="3" t="s">
        <v>34</v>
      </c>
      <c r="F1262" s="3" t="s">
        <v>19</v>
      </c>
      <c r="G1262" s="4">
        <v>0</v>
      </c>
      <c r="H1262" s="4">
        <v>12140440</v>
      </c>
      <c r="I1262" s="3" t="s">
        <v>126</v>
      </c>
      <c r="J1262" s="4">
        <v>4</v>
      </c>
      <c r="K1262" s="3" t="s">
        <v>21</v>
      </c>
      <c r="L1262" s="4">
        <v>940440</v>
      </c>
      <c r="M1262" s="1">
        <f>O1262*J1262*K1262</f>
        <v>0</v>
      </c>
      <c r="N1262" s="3"/>
      <c r="O1262" s="2">
        <f>L1262/J1262*(1-K1262)</f>
        <v>235110</v>
      </c>
    </row>
    <row r="1263" ht="14.25">
      <c r="A1263" s="3" t="s">
        <v>552</v>
      </c>
      <c r="B1263" s="3" t="s">
        <v>552</v>
      </c>
      <c r="C1263" s="3" t="s">
        <v>983</v>
      </c>
      <c r="D1263" s="3" t="s">
        <v>17</v>
      </c>
      <c r="E1263" s="3" t="s">
        <v>389</v>
      </c>
      <c r="F1263" s="3" t="s">
        <v>19</v>
      </c>
      <c r="G1263" s="4">
        <v>0</v>
      </c>
      <c r="H1263" s="4">
        <v>19577376</v>
      </c>
      <c r="I1263" s="3" t="s">
        <v>66</v>
      </c>
      <c r="J1263" s="4">
        <v>30</v>
      </c>
      <c r="K1263" s="3" t="s">
        <v>21</v>
      </c>
      <c r="L1263" s="4">
        <v>12833280</v>
      </c>
      <c r="M1263" s="1">
        <f>O1263*J1263*K1263</f>
        <v>0</v>
      </c>
      <c r="N1263" s="3"/>
      <c r="O1263" s="2">
        <f>L1263/J1263*(1-K1263)</f>
        <v>427776</v>
      </c>
    </row>
    <row r="1264" ht="14.25">
      <c r="A1264" s="3" t="s">
        <v>552</v>
      </c>
      <c r="B1264" s="3" t="s">
        <v>552</v>
      </c>
      <c r="C1264" s="3" t="s">
        <v>983</v>
      </c>
      <c r="D1264" s="3" t="s">
        <v>17</v>
      </c>
      <c r="E1264" s="3" t="s">
        <v>389</v>
      </c>
      <c r="F1264" s="3" t="s">
        <v>19</v>
      </c>
      <c r="G1264" s="4">
        <v>0</v>
      </c>
      <c r="H1264" s="4">
        <v>19577376</v>
      </c>
      <c r="I1264" s="3" t="s">
        <v>185</v>
      </c>
      <c r="J1264" s="4">
        <v>12</v>
      </c>
      <c r="K1264" s="3" t="s">
        <v>21</v>
      </c>
      <c r="L1264" s="4">
        <v>2244096</v>
      </c>
      <c r="M1264" s="1">
        <f>O1264*J1264*K1264</f>
        <v>0</v>
      </c>
      <c r="N1264" s="3"/>
      <c r="O1264" s="2">
        <f>L1264/J1264*(1-K1264)</f>
        <v>187008</v>
      </c>
    </row>
    <row r="1265" ht="14.25">
      <c r="A1265" s="3" t="s">
        <v>552</v>
      </c>
      <c r="B1265" s="3" t="s">
        <v>552</v>
      </c>
      <c r="C1265" s="3" t="s">
        <v>983</v>
      </c>
      <c r="D1265" s="3" t="s">
        <v>17</v>
      </c>
      <c r="E1265" s="3" t="s">
        <v>389</v>
      </c>
      <c r="F1265" s="3" t="s">
        <v>19</v>
      </c>
      <c r="G1265" s="4">
        <v>0</v>
      </c>
      <c r="H1265" s="4">
        <v>19577376</v>
      </c>
      <c r="I1265" s="3" t="s">
        <v>90</v>
      </c>
      <c r="J1265" s="4">
        <v>10</v>
      </c>
      <c r="K1265" s="3" t="s">
        <v>21</v>
      </c>
      <c r="L1265" s="4">
        <v>4500000</v>
      </c>
      <c r="M1265" s="1">
        <f>O1265*J1265*K1265</f>
        <v>0</v>
      </c>
      <c r="N1265" s="3"/>
      <c r="O1265" s="2">
        <f>L1265/J1265*(1-K1265)</f>
        <v>450000</v>
      </c>
    </row>
    <row r="1266" ht="14.25">
      <c r="A1266" s="3" t="s">
        <v>582</v>
      </c>
      <c r="B1266" s="3" t="s">
        <v>984</v>
      </c>
      <c r="C1266" s="3" t="s">
        <v>985</v>
      </c>
      <c r="D1266" s="3" t="s">
        <v>17</v>
      </c>
      <c r="E1266" s="3" t="s">
        <v>34</v>
      </c>
      <c r="F1266" s="3" t="s">
        <v>19</v>
      </c>
      <c r="G1266" s="4">
        <v>0</v>
      </c>
      <c r="H1266" s="4">
        <v>12939808</v>
      </c>
      <c r="I1266" s="3" t="s">
        <v>844</v>
      </c>
      <c r="J1266" s="4">
        <v>4</v>
      </c>
      <c r="K1266" s="3" t="s">
        <v>21</v>
      </c>
      <c r="L1266" s="4">
        <v>2480000</v>
      </c>
      <c r="M1266" s="1">
        <f>O1266*J1266*K1266</f>
        <v>0</v>
      </c>
      <c r="N1266" s="3"/>
      <c r="O1266" s="2">
        <f>L1266/J1266*(1-K1266)</f>
        <v>620000</v>
      </c>
    </row>
    <row r="1267" ht="14.25">
      <c r="A1267" s="3" t="s">
        <v>582</v>
      </c>
      <c r="B1267" s="3" t="s">
        <v>984</v>
      </c>
      <c r="C1267" s="3" t="s">
        <v>985</v>
      </c>
      <c r="D1267" s="3" t="s">
        <v>17</v>
      </c>
      <c r="E1267" s="3" t="s">
        <v>34</v>
      </c>
      <c r="F1267" s="3" t="s">
        <v>19</v>
      </c>
      <c r="G1267" s="4">
        <v>0</v>
      </c>
      <c r="H1267" s="4">
        <v>12939808</v>
      </c>
      <c r="I1267" s="3" t="s">
        <v>474</v>
      </c>
      <c r="J1267" s="4">
        <v>4</v>
      </c>
      <c r="K1267" s="3" t="s">
        <v>21</v>
      </c>
      <c r="L1267" s="4">
        <v>1320000</v>
      </c>
      <c r="M1267" s="1">
        <f>O1267*J1267*K1267</f>
        <v>0</v>
      </c>
      <c r="N1267" s="3"/>
      <c r="O1267" s="2">
        <f>L1267/J1267*(1-K1267)</f>
        <v>330000</v>
      </c>
    </row>
    <row r="1268" ht="14.25">
      <c r="A1268" s="3" t="s">
        <v>582</v>
      </c>
      <c r="B1268" s="3" t="s">
        <v>984</v>
      </c>
      <c r="C1268" s="3" t="s">
        <v>985</v>
      </c>
      <c r="D1268" s="3" t="s">
        <v>17</v>
      </c>
      <c r="E1268" s="3" t="s">
        <v>34</v>
      </c>
      <c r="F1268" s="3" t="s">
        <v>19</v>
      </c>
      <c r="G1268" s="4">
        <v>0</v>
      </c>
      <c r="H1268" s="4">
        <v>12939808</v>
      </c>
      <c r="I1268" s="3" t="s">
        <v>66</v>
      </c>
      <c r="J1268" s="4">
        <v>4</v>
      </c>
      <c r="K1268" s="3" t="s">
        <v>21</v>
      </c>
      <c r="L1268" s="4">
        <v>1639808</v>
      </c>
      <c r="M1268" s="1">
        <f>O1268*J1268*K1268</f>
        <v>0</v>
      </c>
      <c r="N1268" s="3"/>
      <c r="O1268" s="2">
        <f>L1268/J1268*(1-K1268)</f>
        <v>409952</v>
      </c>
    </row>
    <row r="1269" ht="14.25">
      <c r="A1269" s="3" t="s">
        <v>582</v>
      </c>
      <c r="B1269" s="3" t="s">
        <v>984</v>
      </c>
      <c r="C1269" s="3" t="s">
        <v>985</v>
      </c>
      <c r="D1269" s="3" t="s">
        <v>17</v>
      </c>
      <c r="E1269" s="3" t="s">
        <v>34</v>
      </c>
      <c r="F1269" s="3" t="s">
        <v>19</v>
      </c>
      <c r="G1269" s="4">
        <v>0</v>
      </c>
      <c r="H1269" s="4">
        <v>12939808</v>
      </c>
      <c r="I1269" s="3" t="s">
        <v>35</v>
      </c>
      <c r="J1269" s="4">
        <v>1</v>
      </c>
      <c r="K1269" s="3" t="s">
        <v>21</v>
      </c>
      <c r="L1269" s="4">
        <v>3650000</v>
      </c>
      <c r="M1269" s="1">
        <f>O1269*J1269*K1269</f>
        <v>0</v>
      </c>
      <c r="N1269" s="3"/>
      <c r="O1269" s="2">
        <f>L1269/J1269*(1-K1269)</f>
        <v>3650000</v>
      </c>
    </row>
    <row r="1270" ht="14.25">
      <c r="A1270" s="3" t="s">
        <v>582</v>
      </c>
      <c r="B1270" s="3" t="s">
        <v>984</v>
      </c>
      <c r="C1270" s="3" t="s">
        <v>985</v>
      </c>
      <c r="D1270" s="3" t="s">
        <v>17</v>
      </c>
      <c r="E1270" s="3" t="s">
        <v>34</v>
      </c>
      <c r="F1270" s="3" t="s">
        <v>19</v>
      </c>
      <c r="G1270" s="4">
        <v>0</v>
      </c>
      <c r="H1270" s="4">
        <v>12939808</v>
      </c>
      <c r="I1270" s="3" t="s">
        <v>497</v>
      </c>
      <c r="J1270" s="4">
        <v>1</v>
      </c>
      <c r="K1270" s="3" t="s">
        <v>21</v>
      </c>
      <c r="L1270" s="4">
        <v>3850000</v>
      </c>
      <c r="M1270" s="1">
        <f>O1270*J1270*K1270</f>
        <v>0</v>
      </c>
      <c r="N1270" s="3"/>
      <c r="O1270" s="2">
        <f>L1270/J1270*(1-K1270)</f>
        <v>3850000</v>
      </c>
    </row>
    <row r="1271" ht="14.25">
      <c r="A1271" s="3" t="s">
        <v>582</v>
      </c>
      <c r="B1271" s="3" t="s">
        <v>984</v>
      </c>
      <c r="C1271" s="3" t="s">
        <v>986</v>
      </c>
      <c r="D1271" s="3" t="s">
        <v>17</v>
      </c>
      <c r="E1271" s="3" t="s">
        <v>206</v>
      </c>
      <c r="F1271" s="3" t="s">
        <v>19</v>
      </c>
      <c r="G1271" s="4">
        <v>0</v>
      </c>
      <c r="H1271" s="4">
        <v>2406000</v>
      </c>
      <c r="I1271" s="3" t="s">
        <v>605</v>
      </c>
      <c r="J1271" s="4">
        <v>4</v>
      </c>
      <c r="K1271" s="3" t="s">
        <v>21</v>
      </c>
      <c r="L1271" s="4">
        <v>732000</v>
      </c>
      <c r="M1271" s="1">
        <f>O1271*J1271*K1271</f>
        <v>0</v>
      </c>
      <c r="N1271" s="3"/>
      <c r="O1271" s="2">
        <f>L1271/J1271*(1-K1271)</f>
        <v>183000</v>
      </c>
    </row>
    <row r="1272" ht="14.25">
      <c r="A1272" s="3" t="s">
        <v>582</v>
      </c>
      <c r="B1272" s="3" t="s">
        <v>984</v>
      </c>
      <c r="C1272" s="3" t="s">
        <v>986</v>
      </c>
      <c r="D1272" s="3" t="s">
        <v>17</v>
      </c>
      <c r="E1272" s="3" t="s">
        <v>206</v>
      </c>
      <c r="F1272" s="3" t="s">
        <v>19</v>
      </c>
      <c r="G1272" s="4">
        <v>0</v>
      </c>
      <c r="H1272" s="4">
        <v>2406000</v>
      </c>
      <c r="I1272" s="3" t="s">
        <v>281</v>
      </c>
      <c r="J1272" s="4">
        <v>48</v>
      </c>
      <c r="K1272" s="3" t="s">
        <v>21</v>
      </c>
      <c r="L1272" s="4">
        <v>600000</v>
      </c>
      <c r="M1272" s="1">
        <f>O1272*J1272*K1272</f>
        <v>0</v>
      </c>
      <c r="N1272" s="3"/>
      <c r="O1272" s="2">
        <f>L1272/J1272*(1-K1272)</f>
        <v>12500</v>
      </c>
    </row>
    <row r="1273" ht="14.25">
      <c r="A1273" s="3" t="s">
        <v>582</v>
      </c>
      <c r="B1273" s="3" t="s">
        <v>984</v>
      </c>
      <c r="C1273" s="3" t="s">
        <v>986</v>
      </c>
      <c r="D1273" s="3" t="s">
        <v>17</v>
      </c>
      <c r="E1273" s="3" t="s">
        <v>206</v>
      </c>
      <c r="F1273" s="3" t="s">
        <v>19</v>
      </c>
      <c r="G1273" s="4">
        <v>0</v>
      </c>
      <c r="H1273" s="4">
        <v>2406000</v>
      </c>
      <c r="I1273" s="3" t="s">
        <v>884</v>
      </c>
      <c r="J1273" s="4">
        <v>24</v>
      </c>
      <c r="K1273" s="3" t="s">
        <v>21</v>
      </c>
      <c r="L1273" s="4">
        <v>960000</v>
      </c>
      <c r="M1273" s="1">
        <f>O1273*J1273*K1273</f>
        <v>0</v>
      </c>
      <c r="N1273" s="3"/>
      <c r="O1273" s="2">
        <f>L1273/J1273*(1-K1273)</f>
        <v>40000</v>
      </c>
    </row>
    <row r="1274" ht="14.25">
      <c r="A1274" s="3" t="s">
        <v>582</v>
      </c>
      <c r="B1274" s="3" t="s">
        <v>984</v>
      </c>
      <c r="C1274" s="3" t="s">
        <v>986</v>
      </c>
      <c r="D1274" s="3" t="s">
        <v>17</v>
      </c>
      <c r="E1274" s="3" t="s">
        <v>206</v>
      </c>
      <c r="F1274" s="3" t="s">
        <v>19</v>
      </c>
      <c r="G1274" s="4">
        <v>0</v>
      </c>
      <c r="H1274" s="4">
        <v>2406000</v>
      </c>
      <c r="I1274" s="3" t="s">
        <v>162</v>
      </c>
      <c r="J1274" s="4">
        <v>12</v>
      </c>
      <c r="K1274" s="3" t="s">
        <v>21</v>
      </c>
      <c r="L1274" s="4">
        <v>114000</v>
      </c>
      <c r="M1274" s="1">
        <f>O1274*J1274*K1274</f>
        <v>0</v>
      </c>
      <c r="N1274" s="3"/>
      <c r="O1274" s="2">
        <f>L1274/J1274*(1-K1274)</f>
        <v>9500</v>
      </c>
    </row>
    <row r="1275" ht="14.25">
      <c r="A1275" s="3" t="s">
        <v>582</v>
      </c>
      <c r="B1275" s="3" t="s">
        <v>984</v>
      </c>
      <c r="C1275" s="3" t="s">
        <v>987</v>
      </c>
      <c r="D1275" s="3" t="s">
        <v>17</v>
      </c>
      <c r="E1275" s="3" t="s">
        <v>168</v>
      </c>
      <c r="F1275" s="3" t="s">
        <v>19</v>
      </c>
      <c r="G1275" s="4">
        <v>0</v>
      </c>
      <c r="H1275" s="4">
        <v>5496520</v>
      </c>
      <c r="I1275" s="3" t="s">
        <v>298</v>
      </c>
      <c r="J1275" s="4">
        <v>24</v>
      </c>
      <c r="K1275" s="3" t="s">
        <v>21</v>
      </c>
      <c r="L1275" s="4">
        <v>660000</v>
      </c>
      <c r="M1275" s="1">
        <f>O1275*J1275*K1275</f>
        <v>0</v>
      </c>
      <c r="N1275" s="3"/>
      <c r="O1275" s="2">
        <f>L1275/J1275*(1-K1275)</f>
        <v>27500</v>
      </c>
    </row>
    <row r="1276" ht="14.25">
      <c r="A1276" s="3" t="s">
        <v>582</v>
      </c>
      <c r="B1276" s="3" t="s">
        <v>984</v>
      </c>
      <c r="C1276" s="3" t="s">
        <v>987</v>
      </c>
      <c r="D1276" s="3" t="s">
        <v>17</v>
      </c>
      <c r="E1276" s="3" t="s">
        <v>168</v>
      </c>
      <c r="F1276" s="3" t="s">
        <v>19</v>
      </c>
      <c r="G1276" s="4">
        <v>0</v>
      </c>
      <c r="H1276" s="4">
        <v>5496520</v>
      </c>
      <c r="I1276" s="3" t="s">
        <v>47</v>
      </c>
      <c r="J1276" s="4">
        <v>48</v>
      </c>
      <c r="K1276" s="3" t="s">
        <v>21</v>
      </c>
      <c r="L1276" s="4">
        <v>1608000</v>
      </c>
      <c r="M1276" s="1">
        <f>O1276*J1276*K1276</f>
        <v>0</v>
      </c>
      <c r="N1276" s="3"/>
      <c r="O1276" s="2">
        <f>L1276/J1276*(1-K1276)</f>
        <v>33500</v>
      </c>
    </row>
    <row r="1277" ht="14.25">
      <c r="A1277" s="3" t="s">
        <v>582</v>
      </c>
      <c r="B1277" s="3" t="s">
        <v>984</v>
      </c>
      <c r="C1277" s="3" t="s">
        <v>987</v>
      </c>
      <c r="D1277" s="3" t="s">
        <v>17</v>
      </c>
      <c r="E1277" s="3" t="s">
        <v>168</v>
      </c>
      <c r="F1277" s="3" t="s">
        <v>19</v>
      </c>
      <c r="G1277" s="4">
        <v>0</v>
      </c>
      <c r="H1277" s="4">
        <v>5496520</v>
      </c>
      <c r="I1277" s="3" t="s">
        <v>181</v>
      </c>
      <c r="J1277" s="4">
        <v>12</v>
      </c>
      <c r="K1277" s="3" t="s">
        <v>21</v>
      </c>
      <c r="L1277" s="4">
        <v>443520</v>
      </c>
      <c r="M1277" s="1">
        <f>O1277*J1277*K1277</f>
        <v>0</v>
      </c>
      <c r="N1277" s="3"/>
      <c r="O1277" s="2">
        <f>L1277/J1277*(1-K1277)</f>
        <v>36960</v>
      </c>
    </row>
    <row r="1278" ht="14.25">
      <c r="A1278" s="3" t="s">
        <v>582</v>
      </c>
      <c r="B1278" s="3" t="s">
        <v>984</v>
      </c>
      <c r="C1278" s="3" t="s">
        <v>987</v>
      </c>
      <c r="D1278" s="3" t="s">
        <v>17</v>
      </c>
      <c r="E1278" s="3" t="s">
        <v>168</v>
      </c>
      <c r="F1278" s="3" t="s">
        <v>19</v>
      </c>
      <c r="G1278" s="4">
        <v>0</v>
      </c>
      <c r="H1278" s="4">
        <v>5496520</v>
      </c>
      <c r="I1278" s="3" t="s">
        <v>467</v>
      </c>
      <c r="J1278" s="4">
        <v>60</v>
      </c>
      <c r="K1278" s="3" t="s">
        <v>21</v>
      </c>
      <c r="L1278" s="4">
        <v>2010000</v>
      </c>
      <c r="M1278" s="1">
        <f>O1278*J1278*K1278</f>
        <v>0</v>
      </c>
      <c r="N1278" s="3"/>
      <c r="O1278" s="2">
        <f>L1278/J1278*(1-K1278)</f>
        <v>33500</v>
      </c>
    </row>
    <row r="1279" ht="14.25">
      <c r="A1279" s="3" t="s">
        <v>582</v>
      </c>
      <c r="B1279" s="3" t="s">
        <v>984</v>
      </c>
      <c r="C1279" s="3" t="s">
        <v>987</v>
      </c>
      <c r="D1279" s="3" t="s">
        <v>17</v>
      </c>
      <c r="E1279" s="3" t="s">
        <v>168</v>
      </c>
      <c r="F1279" s="3" t="s">
        <v>19</v>
      </c>
      <c r="G1279" s="4">
        <v>0</v>
      </c>
      <c r="H1279" s="4">
        <v>5496520</v>
      </c>
      <c r="I1279" s="3" t="s">
        <v>831</v>
      </c>
      <c r="J1279" s="4">
        <v>1</v>
      </c>
      <c r="K1279" s="3" t="s">
        <v>21</v>
      </c>
      <c r="L1279" s="4">
        <v>350000</v>
      </c>
      <c r="M1279" s="1">
        <f>O1279*J1279*K1279</f>
        <v>0</v>
      </c>
      <c r="N1279" s="3"/>
      <c r="O1279" s="2">
        <f>L1279/J1279*(1-K1279)</f>
        <v>350000</v>
      </c>
    </row>
    <row r="1280" ht="14.25">
      <c r="A1280" s="3" t="s">
        <v>582</v>
      </c>
      <c r="B1280" s="3" t="s">
        <v>984</v>
      </c>
      <c r="C1280" s="3" t="s">
        <v>987</v>
      </c>
      <c r="D1280" s="3" t="s">
        <v>17</v>
      </c>
      <c r="E1280" s="3" t="s">
        <v>168</v>
      </c>
      <c r="F1280" s="3" t="s">
        <v>19</v>
      </c>
      <c r="G1280" s="4">
        <v>0</v>
      </c>
      <c r="H1280" s="4">
        <v>5496520</v>
      </c>
      <c r="I1280" s="3" t="s">
        <v>90</v>
      </c>
      <c r="J1280" s="4">
        <v>1</v>
      </c>
      <c r="K1280" s="3" t="s">
        <v>21</v>
      </c>
      <c r="L1280" s="4">
        <v>425000</v>
      </c>
      <c r="M1280" s="1">
        <f>O1280*J1280*K1280</f>
        <v>0</v>
      </c>
      <c r="N1280" s="3"/>
      <c r="O1280" s="2">
        <f>L1280/J1280*(1-K1280)</f>
        <v>425000</v>
      </c>
    </row>
    <row r="1281" ht="14.25">
      <c r="A1281" s="3" t="s">
        <v>582</v>
      </c>
      <c r="B1281" s="3" t="s">
        <v>984</v>
      </c>
      <c r="C1281" s="3" t="s">
        <v>988</v>
      </c>
      <c r="D1281" s="3" t="s">
        <v>17</v>
      </c>
      <c r="E1281" s="3" t="s">
        <v>989</v>
      </c>
      <c r="F1281" s="3" t="s">
        <v>19</v>
      </c>
      <c r="G1281" s="4">
        <v>0</v>
      </c>
      <c r="H1281" s="4">
        <v>624000</v>
      </c>
      <c r="I1281" s="3" t="s">
        <v>108</v>
      </c>
      <c r="J1281" s="4">
        <v>24</v>
      </c>
      <c r="K1281" s="3" t="s">
        <v>21</v>
      </c>
      <c r="L1281" s="4">
        <v>624000</v>
      </c>
      <c r="M1281" s="1">
        <f>O1281*J1281*K1281</f>
        <v>0</v>
      </c>
      <c r="N1281" s="3"/>
      <c r="O1281" s="2">
        <f>L1281/J1281*(1-K1281)</f>
        <v>26000</v>
      </c>
    </row>
    <row r="1282" ht="14.25">
      <c r="A1282" s="3" t="s">
        <v>582</v>
      </c>
      <c r="B1282" s="3" t="s">
        <v>582</v>
      </c>
      <c r="C1282" s="3" t="s">
        <v>990</v>
      </c>
      <c r="D1282" s="3" t="s">
        <v>17</v>
      </c>
      <c r="E1282" s="3" t="s">
        <v>334</v>
      </c>
      <c r="F1282" s="3" t="s">
        <v>19</v>
      </c>
      <c r="G1282" s="4">
        <v>0</v>
      </c>
      <c r="H1282" s="4">
        <v>2500000</v>
      </c>
      <c r="I1282" s="3" t="s">
        <v>335</v>
      </c>
      <c r="J1282" s="4">
        <v>2</v>
      </c>
      <c r="K1282" s="3" t="s">
        <v>21</v>
      </c>
      <c r="L1282" s="4">
        <v>2500000</v>
      </c>
      <c r="M1282" s="1">
        <f>O1282*J1282*K1282</f>
        <v>0</v>
      </c>
      <c r="N1282" s="3"/>
      <c r="O1282" s="2">
        <f>L1282/J1282*(1-K1282)</f>
        <v>1250000</v>
      </c>
    </row>
    <row r="1283" ht="14.25">
      <c r="A1283" s="3" t="s">
        <v>582</v>
      </c>
      <c r="B1283" s="3" t="s">
        <v>582</v>
      </c>
      <c r="C1283" s="3" t="s">
        <v>991</v>
      </c>
      <c r="D1283" s="3" t="s">
        <v>17</v>
      </c>
      <c r="E1283" s="3" t="s">
        <v>88</v>
      </c>
      <c r="F1283" s="3" t="s">
        <v>19</v>
      </c>
      <c r="G1283" s="4">
        <v>0</v>
      </c>
      <c r="H1283" s="4">
        <v>3380000</v>
      </c>
      <c r="I1283" s="3" t="s">
        <v>731</v>
      </c>
      <c r="J1283" s="4">
        <v>2</v>
      </c>
      <c r="K1283" s="3" t="s">
        <v>21</v>
      </c>
      <c r="L1283" s="4">
        <v>1000000</v>
      </c>
      <c r="M1283" s="1">
        <f>O1283*J1283*K1283</f>
        <v>0</v>
      </c>
      <c r="N1283" s="3"/>
      <c r="O1283" s="2">
        <f>L1283/J1283*(1-K1283)</f>
        <v>500000</v>
      </c>
    </row>
    <row r="1284" ht="14.25">
      <c r="A1284" s="3" t="s">
        <v>582</v>
      </c>
      <c r="B1284" s="3" t="s">
        <v>582</v>
      </c>
      <c r="C1284" s="3" t="s">
        <v>991</v>
      </c>
      <c r="D1284" s="3" t="s">
        <v>17</v>
      </c>
      <c r="E1284" s="3" t="s">
        <v>88</v>
      </c>
      <c r="F1284" s="3" t="s">
        <v>19</v>
      </c>
      <c r="G1284" s="4">
        <v>0</v>
      </c>
      <c r="H1284" s="4">
        <v>3380000</v>
      </c>
      <c r="I1284" s="3" t="s">
        <v>283</v>
      </c>
      <c r="J1284" s="4">
        <v>1</v>
      </c>
      <c r="K1284" s="3" t="s">
        <v>21</v>
      </c>
      <c r="L1284" s="4">
        <v>1380000</v>
      </c>
      <c r="M1284" s="1">
        <f>O1284*J1284*K1284</f>
        <v>0</v>
      </c>
      <c r="N1284" s="3"/>
      <c r="O1284" s="2">
        <f>L1284/J1284*(1-K1284)</f>
        <v>1380000</v>
      </c>
    </row>
    <row r="1285" ht="14.25">
      <c r="A1285" s="3" t="s">
        <v>582</v>
      </c>
      <c r="B1285" s="3" t="s">
        <v>582</v>
      </c>
      <c r="C1285" s="3" t="s">
        <v>991</v>
      </c>
      <c r="D1285" s="3" t="s">
        <v>17</v>
      </c>
      <c r="E1285" s="3" t="s">
        <v>88</v>
      </c>
      <c r="F1285" s="3" t="s">
        <v>19</v>
      </c>
      <c r="G1285" s="4">
        <v>0</v>
      </c>
      <c r="H1285" s="4">
        <v>3380000</v>
      </c>
      <c r="I1285" s="3" t="s">
        <v>90</v>
      </c>
      <c r="J1285" s="4">
        <v>2</v>
      </c>
      <c r="K1285" s="3" t="s">
        <v>21</v>
      </c>
      <c r="L1285" s="4">
        <v>1000000</v>
      </c>
      <c r="M1285" s="1">
        <f>O1285*J1285*K1285</f>
        <v>0</v>
      </c>
      <c r="N1285" s="3"/>
      <c r="O1285" s="2">
        <f>L1285/J1285*(1-K1285)</f>
        <v>500000</v>
      </c>
    </row>
    <row r="1286" ht="14.25">
      <c r="A1286" s="3" t="s">
        <v>582</v>
      </c>
      <c r="B1286" s="3" t="s">
        <v>984</v>
      </c>
      <c r="C1286" s="3" t="s">
        <v>992</v>
      </c>
      <c r="D1286" s="3" t="s">
        <v>17</v>
      </c>
      <c r="E1286" s="3" t="s">
        <v>34</v>
      </c>
      <c r="F1286" s="3" t="s">
        <v>19</v>
      </c>
      <c r="G1286" s="4">
        <v>0</v>
      </c>
      <c r="H1286" s="4">
        <v>1320000</v>
      </c>
      <c r="I1286" s="3" t="s">
        <v>377</v>
      </c>
      <c r="J1286" s="4">
        <v>48</v>
      </c>
      <c r="K1286" s="3" t="s">
        <v>21</v>
      </c>
      <c r="L1286" s="4">
        <v>1056000</v>
      </c>
      <c r="M1286" s="1">
        <f>O1286*J1286*K1286</f>
        <v>0</v>
      </c>
      <c r="N1286" s="3"/>
      <c r="O1286" s="2">
        <f>L1286/J1286*(1-K1286)</f>
        <v>22000</v>
      </c>
    </row>
    <row r="1287" ht="14.25">
      <c r="A1287" s="3" t="s">
        <v>582</v>
      </c>
      <c r="B1287" s="3" t="s">
        <v>984</v>
      </c>
      <c r="C1287" s="3" t="s">
        <v>992</v>
      </c>
      <c r="D1287" s="3" t="s">
        <v>17</v>
      </c>
      <c r="E1287" s="3" t="s">
        <v>34</v>
      </c>
      <c r="F1287" s="3" t="s">
        <v>19</v>
      </c>
      <c r="G1287" s="4">
        <v>0</v>
      </c>
      <c r="H1287" s="4">
        <v>1320000</v>
      </c>
      <c r="I1287" s="3" t="s">
        <v>37</v>
      </c>
      <c r="J1287" s="4">
        <v>12</v>
      </c>
      <c r="K1287" s="3" t="s">
        <v>21</v>
      </c>
      <c r="L1287" s="4">
        <v>264000</v>
      </c>
      <c r="M1287" s="1">
        <f>O1287*J1287*K1287</f>
        <v>0</v>
      </c>
      <c r="N1287" s="3"/>
      <c r="O1287" s="2">
        <f>L1287/J1287*(1-K1287)</f>
        <v>22000</v>
      </c>
    </row>
    <row r="1288" ht="14.25">
      <c r="A1288" s="3" t="s">
        <v>993</v>
      </c>
      <c r="B1288" s="3" t="s">
        <v>994</v>
      </c>
      <c r="C1288" s="3" t="s">
        <v>995</v>
      </c>
      <c r="D1288" s="3" t="s">
        <v>17</v>
      </c>
      <c r="E1288" s="3" t="s">
        <v>34</v>
      </c>
      <c r="F1288" s="3" t="s">
        <v>19</v>
      </c>
      <c r="G1288" s="4">
        <v>0</v>
      </c>
      <c r="H1288" s="4">
        <v>2200000</v>
      </c>
      <c r="I1288" s="3" t="s">
        <v>120</v>
      </c>
      <c r="J1288" s="4">
        <v>10</v>
      </c>
      <c r="K1288" s="3" t="s">
        <v>21</v>
      </c>
      <c r="L1288" s="4">
        <v>2200000</v>
      </c>
      <c r="M1288" s="1">
        <f>O1288*J1288*K1288</f>
        <v>0</v>
      </c>
      <c r="N1288" s="3"/>
      <c r="O1288" s="2">
        <f>L1288/J1288*(1-K1288)</f>
        <v>220000</v>
      </c>
    </row>
    <row r="1289" ht="14.25">
      <c r="A1289" s="3" t="s">
        <v>993</v>
      </c>
      <c r="B1289" s="3" t="s">
        <v>993</v>
      </c>
      <c r="C1289" s="3" t="s">
        <v>996</v>
      </c>
      <c r="D1289" s="3" t="s">
        <v>17</v>
      </c>
      <c r="E1289" s="3" t="s">
        <v>31</v>
      </c>
      <c r="F1289" s="3" t="s">
        <v>19</v>
      </c>
      <c r="G1289" s="4">
        <v>0</v>
      </c>
      <c r="H1289" s="4">
        <v>420000</v>
      </c>
      <c r="I1289" s="3" t="s">
        <v>367</v>
      </c>
      <c r="J1289" s="4">
        <v>12</v>
      </c>
      <c r="K1289" s="3" t="s">
        <v>21</v>
      </c>
      <c r="L1289" s="4">
        <v>420000</v>
      </c>
      <c r="M1289" s="1">
        <f>O1289*J1289*K1289</f>
        <v>0</v>
      </c>
      <c r="N1289" s="3"/>
      <c r="O1289" s="2">
        <f>L1289/J1289*(1-K1289)</f>
        <v>35000</v>
      </c>
    </row>
    <row r="1290" ht="14.25">
      <c r="A1290" s="3" t="s">
        <v>993</v>
      </c>
      <c r="B1290" s="3" t="s">
        <v>993</v>
      </c>
      <c r="C1290" s="3" t="s">
        <v>997</v>
      </c>
      <c r="D1290" s="3" t="s">
        <v>17</v>
      </c>
      <c r="E1290" s="3" t="s">
        <v>360</v>
      </c>
      <c r="F1290" s="3" t="s">
        <v>19</v>
      </c>
      <c r="G1290" s="4">
        <v>0</v>
      </c>
      <c r="H1290" s="4">
        <v>10296000</v>
      </c>
      <c r="I1290" s="3" t="s">
        <v>108</v>
      </c>
      <c r="J1290" s="4">
        <v>240</v>
      </c>
      <c r="K1290" s="3" t="s">
        <v>21</v>
      </c>
      <c r="L1290" s="4">
        <v>5520000</v>
      </c>
      <c r="M1290" s="1">
        <f>O1290*J1290*K1290</f>
        <v>0</v>
      </c>
      <c r="N1290" s="3"/>
      <c r="O1290" s="2">
        <f>L1290/J1290*(1-K1290)</f>
        <v>23000</v>
      </c>
    </row>
    <row r="1291" ht="14.25">
      <c r="A1291" s="3" t="s">
        <v>993</v>
      </c>
      <c r="B1291" s="3" t="s">
        <v>993</v>
      </c>
      <c r="C1291" s="3" t="s">
        <v>997</v>
      </c>
      <c r="D1291" s="3" t="s">
        <v>17</v>
      </c>
      <c r="E1291" s="3" t="s">
        <v>360</v>
      </c>
      <c r="F1291" s="3" t="s">
        <v>19</v>
      </c>
      <c r="G1291" s="4">
        <v>0</v>
      </c>
      <c r="H1291" s="4">
        <v>10296000</v>
      </c>
      <c r="I1291" s="3" t="s">
        <v>32</v>
      </c>
      <c r="J1291" s="4">
        <v>144</v>
      </c>
      <c r="K1291" s="3" t="s">
        <v>21</v>
      </c>
      <c r="L1291" s="4">
        <v>3240000</v>
      </c>
      <c r="M1291" s="1">
        <f>O1291*J1291*K1291</f>
        <v>0</v>
      </c>
      <c r="N1291" s="3"/>
      <c r="O1291" s="2">
        <f>L1291/J1291*(1-K1291)</f>
        <v>22500</v>
      </c>
    </row>
    <row r="1292" ht="14.25">
      <c r="A1292" s="3" t="s">
        <v>993</v>
      </c>
      <c r="B1292" s="3" t="s">
        <v>993</v>
      </c>
      <c r="C1292" s="3" t="s">
        <v>997</v>
      </c>
      <c r="D1292" s="3" t="s">
        <v>17</v>
      </c>
      <c r="E1292" s="3" t="s">
        <v>360</v>
      </c>
      <c r="F1292" s="3" t="s">
        <v>19</v>
      </c>
      <c r="G1292" s="4">
        <v>0</v>
      </c>
      <c r="H1292" s="4">
        <v>10296000</v>
      </c>
      <c r="I1292" s="3" t="s">
        <v>161</v>
      </c>
      <c r="J1292" s="4">
        <v>192</v>
      </c>
      <c r="K1292" s="3" t="s">
        <v>21</v>
      </c>
      <c r="L1292" s="4">
        <v>1152000</v>
      </c>
      <c r="M1292" s="1">
        <f>O1292*J1292*K1292</f>
        <v>0</v>
      </c>
      <c r="N1292" s="3"/>
      <c r="O1292" s="2">
        <f>L1292/J1292*(1-K1292)</f>
        <v>6000</v>
      </c>
    </row>
    <row r="1293" ht="14.25">
      <c r="A1293" s="3" t="s">
        <v>993</v>
      </c>
      <c r="B1293" s="3" t="s">
        <v>993</v>
      </c>
      <c r="C1293" s="3" t="s">
        <v>997</v>
      </c>
      <c r="D1293" s="3" t="s">
        <v>17</v>
      </c>
      <c r="E1293" s="3" t="s">
        <v>360</v>
      </c>
      <c r="F1293" s="3" t="s">
        <v>19</v>
      </c>
      <c r="G1293" s="4">
        <v>0</v>
      </c>
      <c r="H1293" s="4">
        <v>10296000</v>
      </c>
      <c r="I1293" s="3" t="s">
        <v>162</v>
      </c>
      <c r="J1293" s="4">
        <v>24</v>
      </c>
      <c r="K1293" s="3" t="s">
        <v>21</v>
      </c>
      <c r="L1293" s="4">
        <v>192000</v>
      </c>
      <c r="M1293" s="1">
        <f>O1293*J1293*K1293</f>
        <v>0</v>
      </c>
      <c r="N1293" s="3"/>
      <c r="O1293" s="2">
        <f>L1293/J1293*(1-K1293)</f>
        <v>8000</v>
      </c>
    </row>
    <row r="1294" ht="14.25">
      <c r="A1294" s="3" t="s">
        <v>993</v>
      </c>
      <c r="B1294" s="3" t="s">
        <v>993</v>
      </c>
      <c r="C1294" s="3" t="s">
        <v>997</v>
      </c>
      <c r="D1294" s="3" t="s">
        <v>17</v>
      </c>
      <c r="E1294" s="3" t="s">
        <v>360</v>
      </c>
      <c r="F1294" s="3" t="s">
        <v>19</v>
      </c>
      <c r="G1294" s="4">
        <v>0</v>
      </c>
      <c r="H1294" s="4">
        <v>10296000</v>
      </c>
      <c r="I1294" s="3" t="s">
        <v>471</v>
      </c>
      <c r="J1294" s="4">
        <v>48</v>
      </c>
      <c r="K1294" s="3" t="s">
        <v>21</v>
      </c>
      <c r="L1294" s="4">
        <v>192000</v>
      </c>
      <c r="M1294" s="1">
        <f>O1294*J1294*K1294</f>
        <v>0</v>
      </c>
      <c r="N1294" s="3"/>
      <c r="O1294" s="2">
        <f>L1294/J1294*(1-K1294)</f>
        <v>4000</v>
      </c>
    </row>
    <row r="1295" ht="14.25">
      <c r="A1295" s="3" t="s">
        <v>993</v>
      </c>
      <c r="B1295" s="3" t="s">
        <v>993</v>
      </c>
      <c r="C1295" s="3" t="s">
        <v>998</v>
      </c>
      <c r="D1295" s="3" t="s">
        <v>17</v>
      </c>
      <c r="E1295" s="3" t="s">
        <v>286</v>
      </c>
      <c r="F1295" s="3" t="s">
        <v>19</v>
      </c>
      <c r="G1295" s="4">
        <v>0</v>
      </c>
      <c r="H1295" s="4">
        <v>960000</v>
      </c>
      <c r="I1295" s="3" t="s">
        <v>287</v>
      </c>
      <c r="J1295" s="4">
        <v>8</v>
      </c>
      <c r="K1295" s="3" t="s">
        <v>21</v>
      </c>
      <c r="L1295" s="4">
        <v>960000</v>
      </c>
      <c r="M1295" s="1">
        <f>O1295*J1295*K1295</f>
        <v>0</v>
      </c>
      <c r="N1295" s="3"/>
      <c r="O1295" s="2">
        <f>L1295/J1295*(1-K1295)</f>
        <v>120000</v>
      </c>
    </row>
    <row r="1296" ht="14.25">
      <c r="A1296" s="3" t="s">
        <v>993</v>
      </c>
      <c r="B1296" s="3" t="s">
        <v>994</v>
      </c>
      <c r="C1296" s="3" t="s">
        <v>999</v>
      </c>
      <c r="D1296" s="3" t="s">
        <v>17</v>
      </c>
      <c r="E1296" s="3" t="s">
        <v>143</v>
      </c>
      <c r="F1296" s="3" t="s">
        <v>19</v>
      </c>
      <c r="G1296" s="4">
        <v>0</v>
      </c>
      <c r="H1296" s="4">
        <v>5700000</v>
      </c>
      <c r="I1296" s="3" t="s">
        <v>171</v>
      </c>
      <c r="J1296" s="4">
        <v>1</v>
      </c>
      <c r="K1296" s="3" t="s">
        <v>21</v>
      </c>
      <c r="L1296" s="4">
        <v>5700000</v>
      </c>
      <c r="M1296" s="1">
        <f>O1296*J1296*K1296</f>
        <v>0</v>
      </c>
      <c r="N1296" s="3"/>
      <c r="O1296" s="2">
        <f>L1296/J1296*(1-K1296)</f>
        <v>5700000</v>
      </c>
    </row>
    <row r="1297" ht="14.25">
      <c r="A1297" s="3" t="s">
        <v>993</v>
      </c>
      <c r="B1297" s="3" t="s">
        <v>993</v>
      </c>
      <c r="C1297" s="3" t="s">
        <v>1000</v>
      </c>
      <c r="D1297" s="3" t="s">
        <v>17</v>
      </c>
      <c r="E1297" s="3" t="s">
        <v>408</v>
      </c>
      <c r="F1297" s="3" t="s">
        <v>19</v>
      </c>
      <c r="G1297" s="4">
        <v>0</v>
      </c>
      <c r="H1297" s="4">
        <v>7675000</v>
      </c>
      <c r="I1297" s="3" t="s">
        <v>1001</v>
      </c>
      <c r="J1297" s="4">
        <v>5</v>
      </c>
      <c r="K1297" s="3" t="s">
        <v>21</v>
      </c>
      <c r="L1297" s="4">
        <v>6000000</v>
      </c>
      <c r="M1297" s="1">
        <f>O1297*J1297*K1297</f>
        <v>0</v>
      </c>
      <c r="N1297" s="3"/>
      <c r="O1297" s="2">
        <f>L1297/J1297*(1-K1297)</f>
        <v>1200000</v>
      </c>
    </row>
    <row r="1298" ht="14.25">
      <c r="A1298" s="3" t="s">
        <v>993</v>
      </c>
      <c r="B1298" s="3" t="s">
        <v>993</v>
      </c>
      <c r="C1298" s="3" t="s">
        <v>1000</v>
      </c>
      <c r="D1298" s="3" t="s">
        <v>17</v>
      </c>
      <c r="E1298" s="3" t="s">
        <v>408</v>
      </c>
      <c r="F1298" s="3" t="s">
        <v>19</v>
      </c>
      <c r="G1298" s="4">
        <v>0</v>
      </c>
      <c r="H1298" s="4">
        <v>7675000</v>
      </c>
      <c r="I1298" s="3" t="s">
        <v>410</v>
      </c>
      <c r="J1298" s="4">
        <v>5</v>
      </c>
      <c r="K1298" s="3" t="s">
        <v>21</v>
      </c>
      <c r="L1298" s="4">
        <v>1675000</v>
      </c>
      <c r="M1298" s="1">
        <f>O1298*J1298*K1298</f>
        <v>0</v>
      </c>
      <c r="N1298" s="3"/>
      <c r="O1298" s="2">
        <f>L1298/J1298*(1-K1298)</f>
        <v>335000</v>
      </c>
    </row>
    <row r="1299" ht="14.25">
      <c r="A1299" s="3" t="s">
        <v>993</v>
      </c>
      <c r="B1299" s="3" t="s">
        <v>994</v>
      </c>
      <c r="C1299" s="3" t="s">
        <v>1002</v>
      </c>
      <c r="D1299" s="3" t="s">
        <v>17</v>
      </c>
      <c r="E1299" s="3" t="s">
        <v>1003</v>
      </c>
      <c r="F1299" s="3" t="s">
        <v>19</v>
      </c>
      <c r="G1299" s="4">
        <v>0</v>
      </c>
      <c r="H1299" s="4">
        <v>40730000</v>
      </c>
      <c r="I1299" s="3" t="s">
        <v>817</v>
      </c>
      <c r="J1299" s="4">
        <v>8</v>
      </c>
      <c r="K1299" s="3" t="s">
        <v>21</v>
      </c>
      <c r="L1299" s="4">
        <v>1440000</v>
      </c>
      <c r="M1299" s="1">
        <f>O1299*J1299*K1299</f>
        <v>0</v>
      </c>
      <c r="N1299" s="3"/>
      <c r="O1299" s="2">
        <f>L1299/J1299*(1-K1299)</f>
        <v>180000</v>
      </c>
    </row>
    <row r="1300" ht="14.25">
      <c r="A1300" s="3" t="s">
        <v>993</v>
      </c>
      <c r="B1300" s="3" t="s">
        <v>994</v>
      </c>
      <c r="C1300" s="3" t="s">
        <v>1002</v>
      </c>
      <c r="D1300" s="3" t="s">
        <v>17</v>
      </c>
      <c r="E1300" s="3" t="s">
        <v>1003</v>
      </c>
      <c r="F1300" s="3" t="s">
        <v>19</v>
      </c>
      <c r="G1300" s="4">
        <v>0</v>
      </c>
      <c r="H1300" s="4">
        <v>40730000</v>
      </c>
      <c r="I1300" s="3" t="s">
        <v>982</v>
      </c>
      <c r="J1300" s="4">
        <v>12</v>
      </c>
      <c r="K1300" s="3" t="s">
        <v>21</v>
      </c>
      <c r="L1300" s="4">
        <v>1440000</v>
      </c>
      <c r="M1300" s="1">
        <f>O1300*J1300*K1300</f>
        <v>0</v>
      </c>
      <c r="N1300" s="3"/>
      <c r="O1300" s="2">
        <f>L1300/J1300*(1-K1300)</f>
        <v>120000</v>
      </c>
    </row>
    <row r="1301" ht="14.25">
      <c r="A1301" s="3" t="s">
        <v>993</v>
      </c>
      <c r="B1301" s="3" t="s">
        <v>994</v>
      </c>
      <c r="C1301" s="3" t="s">
        <v>1002</v>
      </c>
      <c r="D1301" s="3" t="s">
        <v>17</v>
      </c>
      <c r="E1301" s="3" t="s">
        <v>1003</v>
      </c>
      <c r="F1301" s="3" t="s">
        <v>19</v>
      </c>
      <c r="G1301" s="4">
        <v>0</v>
      </c>
      <c r="H1301" s="4">
        <v>40730000</v>
      </c>
      <c r="I1301" s="3" t="s">
        <v>605</v>
      </c>
      <c r="J1301" s="4">
        <v>60</v>
      </c>
      <c r="K1301" s="3" t="s">
        <v>21</v>
      </c>
      <c r="L1301" s="4">
        <v>9000000</v>
      </c>
      <c r="M1301" s="1">
        <f>O1301*J1301*K1301</f>
        <v>0</v>
      </c>
      <c r="N1301" s="3"/>
      <c r="O1301" s="2">
        <f>L1301/J1301*(1-K1301)</f>
        <v>150000</v>
      </c>
    </row>
    <row r="1302" ht="14.25">
      <c r="A1302" s="3" t="s">
        <v>993</v>
      </c>
      <c r="B1302" s="3" t="s">
        <v>994</v>
      </c>
      <c r="C1302" s="3" t="s">
        <v>1002</v>
      </c>
      <c r="D1302" s="3" t="s">
        <v>17</v>
      </c>
      <c r="E1302" s="3" t="s">
        <v>1003</v>
      </c>
      <c r="F1302" s="3" t="s">
        <v>19</v>
      </c>
      <c r="G1302" s="4">
        <v>0</v>
      </c>
      <c r="H1302" s="4">
        <v>40730000</v>
      </c>
      <c r="I1302" s="3" t="s">
        <v>1004</v>
      </c>
      <c r="J1302" s="4">
        <v>19</v>
      </c>
      <c r="K1302" s="3" t="s">
        <v>21</v>
      </c>
      <c r="L1302" s="4">
        <v>5700000</v>
      </c>
      <c r="M1302" s="1">
        <f>O1302*J1302*K1302</f>
        <v>0</v>
      </c>
      <c r="N1302" s="3"/>
      <c r="O1302" s="2">
        <f>L1302/J1302*(1-K1302)</f>
        <v>300000</v>
      </c>
    </row>
    <row r="1303" ht="14.25">
      <c r="A1303" s="3" t="s">
        <v>993</v>
      </c>
      <c r="B1303" s="3" t="s">
        <v>994</v>
      </c>
      <c r="C1303" s="3" t="s">
        <v>1002</v>
      </c>
      <c r="D1303" s="3" t="s">
        <v>17</v>
      </c>
      <c r="E1303" s="3" t="s">
        <v>1003</v>
      </c>
      <c r="F1303" s="3" t="s">
        <v>19</v>
      </c>
      <c r="G1303" s="4">
        <v>0</v>
      </c>
      <c r="H1303" s="4">
        <v>40730000</v>
      </c>
      <c r="I1303" s="3" t="s">
        <v>417</v>
      </c>
      <c r="J1303" s="4">
        <v>40</v>
      </c>
      <c r="K1303" s="3" t="s">
        <v>21</v>
      </c>
      <c r="L1303" s="4">
        <v>6500000</v>
      </c>
      <c r="M1303" s="1">
        <f>O1303*J1303*K1303</f>
        <v>0</v>
      </c>
      <c r="N1303" s="3"/>
      <c r="O1303" s="2">
        <f>L1303/J1303*(1-K1303)</f>
        <v>162500</v>
      </c>
    </row>
    <row r="1304" ht="14.25">
      <c r="A1304" s="3" t="s">
        <v>993</v>
      </c>
      <c r="B1304" s="3" t="s">
        <v>994</v>
      </c>
      <c r="C1304" s="3" t="s">
        <v>1002</v>
      </c>
      <c r="D1304" s="3" t="s">
        <v>17</v>
      </c>
      <c r="E1304" s="3" t="s">
        <v>1003</v>
      </c>
      <c r="F1304" s="3" t="s">
        <v>19</v>
      </c>
      <c r="G1304" s="4">
        <v>0</v>
      </c>
      <c r="H1304" s="4">
        <v>40730000</v>
      </c>
      <c r="I1304" s="3" t="s">
        <v>400</v>
      </c>
      <c r="J1304" s="4">
        <v>10</v>
      </c>
      <c r="K1304" s="3" t="s">
        <v>21</v>
      </c>
      <c r="L1304" s="4">
        <v>3300000</v>
      </c>
      <c r="M1304" s="1">
        <f>O1304*J1304*K1304</f>
        <v>0</v>
      </c>
      <c r="N1304" s="3"/>
      <c r="O1304" s="2">
        <f>L1304/J1304*(1-K1304)</f>
        <v>330000</v>
      </c>
    </row>
    <row r="1305" ht="14.25">
      <c r="A1305" s="3" t="s">
        <v>993</v>
      </c>
      <c r="B1305" s="3" t="s">
        <v>994</v>
      </c>
      <c r="C1305" s="3" t="s">
        <v>1002</v>
      </c>
      <c r="D1305" s="3" t="s">
        <v>17</v>
      </c>
      <c r="E1305" s="3" t="s">
        <v>1003</v>
      </c>
      <c r="F1305" s="3" t="s">
        <v>19</v>
      </c>
      <c r="G1305" s="4">
        <v>0</v>
      </c>
      <c r="H1305" s="4">
        <v>40730000</v>
      </c>
      <c r="I1305" s="3" t="s">
        <v>504</v>
      </c>
      <c r="J1305" s="4">
        <v>12</v>
      </c>
      <c r="K1305" s="3" t="s">
        <v>21</v>
      </c>
      <c r="L1305" s="4">
        <v>1596000</v>
      </c>
      <c r="M1305" s="1">
        <f>O1305*J1305*K1305</f>
        <v>0</v>
      </c>
      <c r="N1305" s="3"/>
      <c r="O1305" s="2">
        <f>L1305/J1305*(1-K1305)</f>
        <v>133000</v>
      </c>
    </row>
    <row r="1306" ht="14.25">
      <c r="A1306" s="3" t="s">
        <v>993</v>
      </c>
      <c r="B1306" s="3" t="s">
        <v>994</v>
      </c>
      <c r="C1306" s="3" t="s">
        <v>1002</v>
      </c>
      <c r="D1306" s="3" t="s">
        <v>17</v>
      </c>
      <c r="E1306" s="3" t="s">
        <v>1003</v>
      </c>
      <c r="F1306" s="3" t="s">
        <v>19</v>
      </c>
      <c r="G1306" s="4">
        <v>0</v>
      </c>
      <c r="H1306" s="4">
        <v>40730000</v>
      </c>
      <c r="I1306" s="3" t="s">
        <v>474</v>
      </c>
      <c r="J1306" s="4">
        <v>20</v>
      </c>
      <c r="K1306" s="3" t="s">
        <v>21</v>
      </c>
      <c r="L1306" s="4">
        <v>6600000</v>
      </c>
      <c r="M1306" s="1">
        <f>O1306*J1306*K1306</f>
        <v>0</v>
      </c>
      <c r="N1306" s="3"/>
      <c r="O1306" s="2">
        <f>L1306/J1306*(1-K1306)</f>
        <v>330000</v>
      </c>
    </row>
    <row r="1307" ht="14.25">
      <c r="A1307" s="3" t="s">
        <v>993</v>
      </c>
      <c r="B1307" s="3" t="s">
        <v>994</v>
      </c>
      <c r="C1307" s="3" t="s">
        <v>1002</v>
      </c>
      <c r="D1307" s="3" t="s">
        <v>17</v>
      </c>
      <c r="E1307" s="3" t="s">
        <v>1003</v>
      </c>
      <c r="F1307" s="3" t="s">
        <v>19</v>
      </c>
      <c r="G1307" s="4">
        <v>0</v>
      </c>
      <c r="H1307" s="4">
        <v>40730000</v>
      </c>
      <c r="I1307" s="3" t="s">
        <v>415</v>
      </c>
      <c r="J1307" s="4">
        <v>36</v>
      </c>
      <c r="K1307" s="3" t="s">
        <v>21</v>
      </c>
      <c r="L1307" s="4">
        <v>1296000</v>
      </c>
      <c r="M1307" s="1">
        <f>O1307*J1307*K1307</f>
        <v>0</v>
      </c>
      <c r="N1307" s="3"/>
      <c r="O1307" s="2">
        <f>L1307/J1307*(1-K1307)</f>
        <v>36000</v>
      </c>
    </row>
    <row r="1308" ht="14.25">
      <c r="A1308" s="3" t="s">
        <v>993</v>
      </c>
      <c r="B1308" s="3" t="s">
        <v>994</v>
      </c>
      <c r="C1308" s="3" t="s">
        <v>1002</v>
      </c>
      <c r="D1308" s="3" t="s">
        <v>17</v>
      </c>
      <c r="E1308" s="3" t="s">
        <v>1003</v>
      </c>
      <c r="F1308" s="3" t="s">
        <v>19</v>
      </c>
      <c r="G1308" s="4">
        <v>0</v>
      </c>
      <c r="H1308" s="4">
        <v>40730000</v>
      </c>
      <c r="I1308" s="3" t="s">
        <v>395</v>
      </c>
      <c r="J1308" s="4">
        <v>18</v>
      </c>
      <c r="K1308" s="3" t="s">
        <v>21</v>
      </c>
      <c r="L1308" s="4">
        <v>2250000</v>
      </c>
      <c r="M1308" s="1">
        <f>O1308*J1308*K1308</f>
        <v>0</v>
      </c>
      <c r="N1308" s="3"/>
      <c r="O1308" s="2">
        <f>L1308/J1308*(1-K1308)</f>
        <v>125000</v>
      </c>
    </row>
    <row r="1309" ht="14.25">
      <c r="A1309" s="3" t="s">
        <v>993</v>
      </c>
      <c r="B1309" s="3" t="s">
        <v>994</v>
      </c>
      <c r="C1309" s="3" t="s">
        <v>1002</v>
      </c>
      <c r="D1309" s="3" t="s">
        <v>17</v>
      </c>
      <c r="E1309" s="3" t="s">
        <v>1003</v>
      </c>
      <c r="F1309" s="3" t="s">
        <v>19</v>
      </c>
      <c r="G1309" s="4">
        <v>0</v>
      </c>
      <c r="H1309" s="4">
        <v>40730000</v>
      </c>
      <c r="I1309" s="3" t="s">
        <v>47</v>
      </c>
      <c r="J1309" s="4">
        <v>48</v>
      </c>
      <c r="K1309" s="3" t="s">
        <v>21</v>
      </c>
      <c r="L1309" s="4">
        <v>1608000</v>
      </c>
      <c r="M1309" s="1">
        <f>O1309*J1309*K1309</f>
        <v>0</v>
      </c>
      <c r="N1309" s="3"/>
      <c r="O1309" s="2">
        <f>L1309/J1309*(1-K1309)</f>
        <v>33500</v>
      </c>
    </row>
    <row r="1310" ht="14.25">
      <c r="A1310" s="3" t="s">
        <v>993</v>
      </c>
      <c r="B1310" s="3" t="s">
        <v>994</v>
      </c>
      <c r="C1310" s="3" t="s">
        <v>1005</v>
      </c>
      <c r="D1310" s="3" t="s">
        <v>17</v>
      </c>
      <c r="E1310" s="3" t="s">
        <v>1003</v>
      </c>
      <c r="F1310" s="3" t="s">
        <v>19</v>
      </c>
      <c r="G1310" s="4">
        <v>0</v>
      </c>
      <c r="H1310" s="4">
        <v>5270000</v>
      </c>
      <c r="I1310" s="3" t="s">
        <v>484</v>
      </c>
      <c r="J1310" s="4">
        <v>30</v>
      </c>
      <c r="K1310" s="3" t="s">
        <v>21</v>
      </c>
      <c r="L1310" s="4">
        <v>1200000</v>
      </c>
      <c r="M1310" s="1">
        <f>O1310*J1310*K1310</f>
        <v>0</v>
      </c>
      <c r="N1310" s="3"/>
      <c r="O1310" s="2">
        <f>L1310/J1310*(1-K1310)</f>
        <v>40000</v>
      </c>
    </row>
    <row r="1311" ht="14.25">
      <c r="A1311" s="3" t="s">
        <v>993</v>
      </c>
      <c r="B1311" s="3" t="s">
        <v>994</v>
      </c>
      <c r="C1311" s="3" t="s">
        <v>1005</v>
      </c>
      <c r="D1311" s="3" t="s">
        <v>17</v>
      </c>
      <c r="E1311" s="3" t="s">
        <v>1003</v>
      </c>
      <c r="F1311" s="3" t="s">
        <v>19</v>
      </c>
      <c r="G1311" s="4">
        <v>0</v>
      </c>
      <c r="H1311" s="4">
        <v>5270000</v>
      </c>
      <c r="I1311" s="3" t="s">
        <v>45</v>
      </c>
      <c r="J1311" s="4">
        <v>120</v>
      </c>
      <c r="K1311" s="3" t="s">
        <v>21</v>
      </c>
      <c r="L1311" s="4">
        <v>3600000</v>
      </c>
      <c r="M1311" s="1">
        <f>O1311*J1311*K1311</f>
        <v>0</v>
      </c>
      <c r="N1311" s="3"/>
      <c r="O1311" s="2">
        <f>L1311/J1311*(1-K1311)</f>
        <v>30000</v>
      </c>
    </row>
    <row r="1312" ht="14.25">
      <c r="A1312" s="3" t="s">
        <v>993</v>
      </c>
      <c r="B1312" s="3" t="s">
        <v>994</v>
      </c>
      <c r="C1312" s="3" t="s">
        <v>1005</v>
      </c>
      <c r="D1312" s="3" t="s">
        <v>17</v>
      </c>
      <c r="E1312" s="3" t="s">
        <v>1003</v>
      </c>
      <c r="F1312" s="3" t="s">
        <v>19</v>
      </c>
      <c r="G1312" s="4">
        <v>0</v>
      </c>
      <c r="H1312" s="4">
        <v>5270000</v>
      </c>
      <c r="I1312" s="3" t="s">
        <v>244</v>
      </c>
      <c r="J1312" s="4">
        <v>12</v>
      </c>
      <c r="K1312" s="3" t="s">
        <v>21</v>
      </c>
      <c r="L1312" s="4">
        <v>576000</v>
      </c>
      <c r="M1312" s="1">
        <f>O1312*J1312*K1312</f>
        <v>0</v>
      </c>
      <c r="N1312" s="3"/>
      <c r="O1312" s="2">
        <f>L1312/J1312*(1-K1312)</f>
        <v>48000</v>
      </c>
    </row>
    <row r="1313" ht="14.25">
      <c r="A1313" s="3" t="s">
        <v>993</v>
      </c>
      <c r="B1313" s="3" t="s">
        <v>993</v>
      </c>
      <c r="C1313" s="3" t="s">
        <v>1006</v>
      </c>
      <c r="D1313" s="3" t="s">
        <v>17</v>
      </c>
      <c r="E1313" s="3" t="s">
        <v>53</v>
      </c>
      <c r="F1313" s="3" t="s">
        <v>19</v>
      </c>
      <c r="G1313" s="4">
        <v>0</v>
      </c>
      <c r="H1313" s="4">
        <v>3615000</v>
      </c>
      <c r="I1313" s="3" t="s">
        <v>420</v>
      </c>
      <c r="J1313" s="4">
        <v>3</v>
      </c>
      <c r="K1313" s="3" t="s">
        <v>21</v>
      </c>
      <c r="L1313" s="4">
        <v>1950000</v>
      </c>
      <c r="M1313" s="1">
        <f>O1313*J1313*K1313</f>
        <v>0</v>
      </c>
      <c r="N1313" s="3"/>
      <c r="O1313" s="2">
        <f>L1313/J1313*(1-K1313)</f>
        <v>650000</v>
      </c>
    </row>
    <row r="1314" ht="14.25">
      <c r="A1314" s="3" t="s">
        <v>993</v>
      </c>
      <c r="B1314" s="3" t="s">
        <v>993</v>
      </c>
      <c r="C1314" s="3" t="s">
        <v>1006</v>
      </c>
      <c r="D1314" s="3" t="s">
        <v>17</v>
      </c>
      <c r="E1314" s="3" t="s">
        <v>53</v>
      </c>
      <c r="F1314" s="3" t="s">
        <v>19</v>
      </c>
      <c r="G1314" s="4">
        <v>0</v>
      </c>
      <c r="H1314" s="4">
        <v>3615000</v>
      </c>
      <c r="I1314" s="3" t="s">
        <v>122</v>
      </c>
      <c r="J1314" s="4">
        <v>4</v>
      </c>
      <c r="K1314" s="3" t="s">
        <v>21</v>
      </c>
      <c r="L1314" s="4">
        <v>720000</v>
      </c>
      <c r="M1314" s="1">
        <f>O1314*J1314*K1314</f>
        <v>0</v>
      </c>
      <c r="N1314" s="3"/>
      <c r="O1314" s="2">
        <f>L1314/J1314*(1-K1314)</f>
        <v>180000</v>
      </c>
    </row>
    <row r="1315" ht="14.25">
      <c r="A1315" s="3" t="s">
        <v>993</v>
      </c>
      <c r="B1315" s="3" t="s">
        <v>993</v>
      </c>
      <c r="C1315" s="3" t="s">
        <v>1006</v>
      </c>
      <c r="D1315" s="3" t="s">
        <v>17</v>
      </c>
      <c r="E1315" s="3" t="s">
        <v>53</v>
      </c>
      <c r="F1315" s="3" t="s">
        <v>19</v>
      </c>
      <c r="G1315" s="4">
        <v>0</v>
      </c>
      <c r="H1315" s="4">
        <v>3615000</v>
      </c>
      <c r="I1315" s="3" t="s">
        <v>245</v>
      </c>
      <c r="J1315" s="4">
        <v>4</v>
      </c>
      <c r="K1315" s="3" t="s">
        <v>21</v>
      </c>
      <c r="L1315" s="4">
        <v>720000</v>
      </c>
      <c r="M1315" s="1">
        <f>O1315*J1315*K1315</f>
        <v>0</v>
      </c>
      <c r="N1315" s="3"/>
      <c r="O1315" s="2">
        <f>L1315/J1315*(1-K1315)</f>
        <v>180000</v>
      </c>
    </row>
    <row r="1316" ht="14.25">
      <c r="A1316" s="3" t="s">
        <v>993</v>
      </c>
      <c r="B1316" s="3" t="s">
        <v>993</v>
      </c>
      <c r="C1316" s="3" t="s">
        <v>1006</v>
      </c>
      <c r="D1316" s="3" t="s">
        <v>17</v>
      </c>
      <c r="E1316" s="3" t="s">
        <v>53</v>
      </c>
      <c r="F1316" s="3" t="s">
        <v>19</v>
      </c>
      <c r="G1316" s="4">
        <v>0</v>
      </c>
      <c r="H1316" s="4">
        <v>3615000</v>
      </c>
      <c r="I1316" s="3" t="s">
        <v>382</v>
      </c>
      <c r="J1316" s="4">
        <v>1</v>
      </c>
      <c r="K1316" s="3" t="s">
        <v>21</v>
      </c>
      <c r="L1316" s="4">
        <v>225000</v>
      </c>
      <c r="M1316" s="1">
        <f>O1316*J1316*K1316</f>
        <v>0</v>
      </c>
      <c r="N1316" s="3"/>
      <c r="O1316" s="2">
        <f>L1316/J1316*(1-K1316)</f>
        <v>225000</v>
      </c>
    </row>
    <row r="1317" ht="14.25">
      <c r="A1317" s="3" t="s">
        <v>993</v>
      </c>
      <c r="B1317" s="3" t="s">
        <v>1007</v>
      </c>
      <c r="C1317" s="3" t="s">
        <v>1008</v>
      </c>
      <c r="D1317" s="3" t="s">
        <v>17</v>
      </c>
      <c r="E1317" s="3" t="s">
        <v>1009</v>
      </c>
      <c r="F1317" s="3" t="s">
        <v>19</v>
      </c>
      <c r="G1317" s="4">
        <v>0</v>
      </c>
      <c r="H1317" s="4">
        <v>2000000</v>
      </c>
      <c r="I1317" s="3" t="s">
        <v>365</v>
      </c>
      <c r="J1317" s="4">
        <v>8</v>
      </c>
      <c r="K1317" s="3" t="s">
        <v>21</v>
      </c>
      <c r="L1317" s="4">
        <v>2000000</v>
      </c>
      <c r="M1317" s="1">
        <f>O1317*J1317*K1317</f>
        <v>0</v>
      </c>
      <c r="N1317" s="3"/>
      <c r="O1317" s="2">
        <f>L1317/J1317*(1-K1317)</f>
        <v>250000</v>
      </c>
    </row>
    <row r="1318" ht="14.25">
      <c r="A1318" s="3" t="s">
        <v>993</v>
      </c>
      <c r="B1318" s="3" t="s">
        <v>994</v>
      </c>
      <c r="C1318" s="3" t="s">
        <v>1010</v>
      </c>
      <c r="D1318" s="3" t="s">
        <v>17</v>
      </c>
      <c r="E1318" s="3" t="s">
        <v>63</v>
      </c>
      <c r="F1318" s="3" t="s">
        <v>19</v>
      </c>
      <c r="G1318" s="4">
        <v>0</v>
      </c>
      <c r="H1318" s="4">
        <v>12565000</v>
      </c>
      <c r="I1318" s="3" t="s">
        <v>1011</v>
      </c>
      <c r="J1318" s="4">
        <v>1</v>
      </c>
      <c r="K1318" s="3" t="s">
        <v>21</v>
      </c>
      <c r="L1318" s="4">
        <v>4500000</v>
      </c>
      <c r="M1318" s="1">
        <f>O1318*J1318*K1318</f>
        <v>0</v>
      </c>
      <c r="N1318" s="3"/>
      <c r="O1318" s="2">
        <f>L1318/J1318*(1-K1318)</f>
        <v>4500000</v>
      </c>
    </row>
    <row r="1319" ht="14.25">
      <c r="A1319" s="3" t="s">
        <v>993</v>
      </c>
      <c r="B1319" s="3" t="s">
        <v>994</v>
      </c>
      <c r="C1319" s="3" t="s">
        <v>1010</v>
      </c>
      <c r="D1319" s="3" t="s">
        <v>17</v>
      </c>
      <c r="E1319" s="3" t="s">
        <v>63</v>
      </c>
      <c r="F1319" s="3" t="s">
        <v>19</v>
      </c>
      <c r="G1319" s="4">
        <v>0</v>
      </c>
      <c r="H1319" s="4">
        <v>12565000</v>
      </c>
      <c r="I1319" s="3" t="s">
        <v>121</v>
      </c>
      <c r="J1319" s="4">
        <v>1</v>
      </c>
      <c r="K1319" s="3" t="s">
        <v>21</v>
      </c>
      <c r="L1319" s="4">
        <v>3800000</v>
      </c>
      <c r="M1319" s="1">
        <f>O1319*J1319*K1319</f>
        <v>0</v>
      </c>
      <c r="N1319" s="3"/>
      <c r="O1319" s="2">
        <f>L1319/J1319*(1-K1319)</f>
        <v>3800000</v>
      </c>
    </row>
    <row r="1320" ht="14.25">
      <c r="A1320" s="3" t="s">
        <v>993</v>
      </c>
      <c r="B1320" s="3" t="s">
        <v>994</v>
      </c>
      <c r="C1320" s="3" t="s">
        <v>1010</v>
      </c>
      <c r="D1320" s="3" t="s">
        <v>17</v>
      </c>
      <c r="E1320" s="3" t="s">
        <v>63</v>
      </c>
      <c r="F1320" s="3" t="s">
        <v>19</v>
      </c>
      <c r="G1320" s="4">
        <v>0</v>
      </c>
      <c r="H1320" s="4">
        <v>12565000</v>
      </c>
      <c r="I1320" s="3" t="s">
        <v>29</v>
      </c>
      <c r="J1320" s="4">
        <v>4</v>
      </c>
      <c r="K1320" s="3" t="s">
        <v>21</v>
      </c>
      <c r="L1320" s="4">
        <v>2000000</v>
      </c>
      <c r="M1320" s="1">
        <f>O1320*J1320*K1320</f>
        <v>0</v>
      </c>
      <c r="N1320" s="3"/>
      <c r="O1320" s="2">
        <f>L1320/J1320*(1-K1320)</f>
        <v>500000</v>
      </c>
    </row>
    <row r="1321" ht="14.25">
      <c r="A1321" s="3" t="s">
        <v>993</v>
      </c>
      <c r="B1321" s="3" t="s">
        <v>994</v>
      </c>
      <c r="C1321" s="3" t="s">
        <v>1010</v>
      </c>
      <c r="D1321" s="3" t="s">
        <v>17</v>
      </c>
      <c r="E1321" s="3" t="s">
        <v>63</v>
      </c>
      <c r="F1321" s="3" t="s">
        <v>19</v>
      </c>
      <c r="G1321" s="4">
        <v>0</v>
      </c>
      <c r="H1321" s="4">
        <v>12565000</v>
      </c>
      <c r="I1321" s="3" t="s">
        <v>608</v>
      </c>
      <c r="J1321" s="4">
        <v>1</v>
      </c>
      <c r="K1321" s="3" t="s">
        <v>21</v>
      </c>
      <c r="L1321" s="4">
        <v>925000</v>
      </c>
      <c r="M1321" s="1">
        <f>O1321*J1321*K1321</f>
        <v>0</v>
      </c>
      <c r="N1321" s="3"/>
      <c r="O1321" s="2">
        <f>L1321/J1321*(1-K1321)</f>
        <v>925000</v>
      </c>
    </row>
    <row r="1322" ht="14.25">
      <c r="A1322" s="3" t="s">
        <v>993</v>
      </c>
      <c r="B1322" s="3" t="s">
        <v>994</v>
      </c>
      <c r="C1322" s="3" t="s">
        <v>1010</v>
      </c>
      <c r="D1322" s="3" t="s">
        <v>17</v>
      </c>
      <c r="E1322" s="3" t="s">
        <v>63</v>
      </c>
      <c r="F1322" s="3" t="s">
        <v>19</v>
      </c>
      <c r="G1322" s="4">
        <v>0</v>
      </c>
      <c r="H1322" s="4">
        <v>12565000</v>
      </c>
      <c r="I1322" s="3" t="s">
        <v>399</v>
      </c>
      <c r="J1322" s="4">
        <v>2</v>
      </c>
      <c r="K1322" s="3" t="s">
        <v>21</v>
      </c>
      <c r="L1322" s="4">
        <v>680000</v>
      </c>
      <c r="M1322" s="1">
        <f>O1322*J1322*K1322</f>
        <v>0</v>
      </c>
      <c r="N1322" s="3"/>
      <c r="O1322" s="2">
        <f>L1322/J1322*(1-K1322)</f>
        <v>340000</v>
      </c>
    </row>
    <row r="1323" ht="14.25">
      <c r="A1323" s="3" t="s">
        <v>993</v>
      </c>
      <c r="B1323" s="3" t="s">
        <v>994</v>
      </c>
      <c r="C1323" s="3" t="s">
        <v>1010</v>
      </c>
      <c r="D1323" s="3" t="s">
        <v>17</v>
      </c>
      <c r="E1323" s="3" t="s">
        <v>63</v>
      </c>
      <c r="F1323" s="3" t="s">
        <v>19</v>
      </c>
      <c r="G1323" s="4">
        <v>0</v>
      </c>
      <c r="H1323" s="4">
        <v>12565000</v>
      </c>
      <c r="I1323" s="3" t="s">
        <v>56</v>
      </c>
      <c r="J1323" s="4">
        <v>4</v>
      </c>
      <c r="K1323" s="3" t="s">
        <v>21</v>
      </c>
      <c r="L1323" s="4">
        <v>660000</v>
      </c>
      <c r="M1323" s="1">
        <f>O1323*J1323*K1323</f>
        <v>0</v>
      </c>
      <c r="N1323" s="3"/>
      <c r="O1323" s="2">
        <f>L1323/J1323*(1-K1323)</f>
        <v>165000</v>
      </c>
    </row>
    <row r="1324" ht="14.25">
      <c r="A1324" s="3" t="s">
        <v>993</v>
      </c>
      <c r="B1324" s="3" t="s">
        <v>993</v>
      </c>
      <c r="C1324" s="3" t="s">
        <v>1012</v>
      </c>
      <c r="D1324" s="3" t="s">
        <v>17</v>
      </c>
      <c r="E1324" s="3" t="s">
        <v>153</v>
      </c>
      <c r="F1324" s="3" t="s">
        <v>19</v>
      </c>
      <c r="G1324" s="4">
        <v>0</v>
      </c>
      <c r="H1324" s="4">
        <v>3506400</v>
      </c>
      <c r="I1324" s="3" t="s">
        <v>185</v>
      </c>
      <c r="J1324" s="4">
        <v>18</v>
      </c>
      <c r="K1324" s="3" t="s">
        <v>21</v>
      </c>
      <c r="L1324" s="4">
        <v>3506400</v>
      </c>
      <c r="M1324" s="1">
        <f>O1324*J1324*K1324</f>
        <v>0</v>
      </c>
      <c r="N1324" s="3"/>
      <c r="O1324" s="2">
        <f>L1324/J1324*(1-K1324)</f>
        <v>194800</v>
      </c>
    </row>
    <row r="1325" ht="14.25">
      <c r="A1325" s="3" t="s">
        <v>602</v>
      </c>
      <c r="B1325" s="3" t="s">
        <v>602</v>
      </c>
      <c r="C1325" s="3" t="s">
        <v>1013</v>
      </c>
      <c r="D1325" s="3" t="s">
        <v>17</v>
      </c>
      <c r="E1325" s="3" t="s">
        <v>1014</v>
      </c>
      <c r="F1325" s="3" t="s">
        <v>19</v>
      </c>
      <c r="G1325" s="4">
        <v>0</v>
      </c>
      <c r="H1325" s="4">
        <v>1100000</v>
      </c>
      <c r="I1325" s="3" t="s">
        <v>150</v>
      </c>
      <c r="J1325" s="4">
        <v>1</v>
      </c>
      <c r="K1325" s="3" t="s">
        <v>21</v>
      </c>
      <c r="L1325" s="4">
        <v>500000</v>
      </c>
      <c r="M1325" s="1">
        <f>O1325*J1325*K1325</f>
        <v>0</v>
      </c>
      <c r="N1325" s="3"/>
      <c r="O1325" s="2">
        <f>L1325/J1325*(1-K1325)</f>
        <v>500000</v>
      </c>
    </row>
    <row r="1326" ht="14.25">
      <c r="A1326" s="3" t="s">
        <v>602</v>
      </c>
      <c r="B1326" s="3" t="s">
        <v>602</v>
      </c>
      <c r="C1326" s="3" t="s">
        <v>1013</v>
      </c>
      <c r="D1326" s="3" t="s">
        <v>17</v>
      </c>
      <c r="E1326" s="3" t="s">
        <v>1014</v>
      </c>
      <c r="F1326" s="3" t="s">
        <v>19</v>
      </c>
      <c r="G1326" s="4">
        <v>0</v>
      </c>
      <c r="H1326" s="4">
        <v>1100000</v>
      </c>
      <c r="I1326" s="3" t="s">
        <v>404</v>
      </c>
      <c r="J1326" s="4">
        <v>1</v>
      </c>
      <c r="K1326" s="3" t="s">
        <v>21</v>
      </c>
      <c r="L1326" s="4">
        <v>600000</v>
      </c>
      <c r="M1326" s="1">
        <f>O1326*J1326*K1326</f>
        <v>0</v>
      </c>
      <c r="N1326" s="3"/>
      <c r="O1326" s="2">
        <f>L1326/J1326*(1-K1326)</f>
        <v>600000</v>
      </c>
    </row>
    <row r="1327" ht="14.25">
      <c r="A1327" s="3" t="s">
        <v>602</v>
      </c>
      <c r="B1327" s="3" t="s">
        <v>602</v>
      </c>
      <c r="C1327" s="3" t="s">
        <v>1015</v>
      </c>
      <c r="D1327" s="3" t="s">
        <v>17</v>
      </c>
      <c r="E1327" s="3" t="s">
        <v>559</v>
      </c>
      <c r="F1327" s="3" t="s">
        <v>19</v>
      </c>
      <c r="G1327" s="4">
        <v>0</v>
      </c>
      <c r="H1327" s="4">
        <v>16000000</v>
      </c>
      <c r="I1327" s="3" t="s">
        <v>86</v>
      </c>
      <c r="J1327" s="4">
        <v>2</v>
      </c>
      <c r="K1327" s="3" t="s">
        <v>21</v>
      </c>
      <c r="L1327" s="4">
        <v>10000000</v>
      </c>
      <c r="M1327" s="1">
        <f>O1327*J1327*K1327</f>
        <v>0</v>
      </c>
      <c r="N1327" s="3"/>
      <c r="O1327" s="2">
        <f>L1327/J1327*(1-K1327)</f>
        <v>5000000</v>
      </c>
    </row>
    <row r="1328" ht="14.25">
      <c r="A1328" s="3" t="s">
        <v>602</v>
      </c>
      <c r="B1328" s="3" t="s">
        <v>602</v>
      </c>
      <c r="C1328" s="3" t="s">
        <v>1015</v>
      </c>
      <c r="D1328" s="3" t="s">
        <v>17</v>
      </c>
      <c r="E1328" s="3" t="s">
        <v>559</v>
      </c>
      <c r="F1328" s="3" t="s">
        <v>19</v>
      </c>
      <c r="G1328" s="4">
        <v>0</v>
      </c>
      <c r="H1328" s="4">
        <v>16000000</v>
      </c>
      <c r="I1328" s="3" t="s">
        <v>540</v>
      </c>
      <c r="J1328" s="4">
        <v>1</v>
      </c>
      <c r="K1328" s="3" t="s">
        <v>21</v>
      </c>
      <c r="L1328" s="4">
        <v>6000000</v>
      </c>
      <c r="M1328" s="1">
        <f>O1328*J1328*K1328</f>
        <v>0</v>
      </c>
      <c r="N1328" s="3"/>
      <c r="O1328" s="2">
        <f>L1328/J1328*(1-K1328)</f>
        <v>6000000</v>
      </c>
    </row>
    <row r="1329" ht="14.25">
      <c r="A1329" s="3" t="s">
        <v>602</v>
      </c>
      <c r="B1329" s="3" t="s">
        <v>793</v>
      </c>
      <c r="C1329" s="3" t="s">
        <v>1016</v>
      </c>
      <c r="D1329" s="3" t="s">
        <v>17</v>
      </c>
      <c r="E1329" s="3" t="s">
        <v>99</v>
      </c>
      <c r="F1329" s="3" t="s">
        <v>19</v>
      </c>
      <c r="G1329" s="4">
        <v>0</v>
      </c>
      <c r="H1329" s="4">
        <v>131482540</v>
      </c>
      <c r="I1329" s="3" t="s">
        <v>82</v>
      </c>
      <c r="J1329" s="4">
        <v>5</v>
      </c>
      <c r="K1329" s="3" t="s">
        <v>21</v>
      </c>
      <c r="L1329" s="4">
        <v>19000000</v>
      </c>
      <c r="M1329" s="1">
        <f>O1329*J1329*K1329</f>
        <v>0</v>
      </c>
      <c r="N1329" s="3"/>
      <c r="O1329" s="2">
        <f>L1329/J1329*(1-K1329)</f>
        <v>3800000</v>
      </c>
    </row>
    <row r="1330" ht="14.25">
      <c r="A1330" s="3" t="s">
        <v>602</v>
      </c>
      <c r="B1330" s="3" t="s">
        <v>793</v>
      </c>
      <c r="C1330" s="3" t="s">
        <v>1016</v>
      </c>
      <c r="D1330" s="3" t="s">
        <v>17</v>
      </c>
      <c r="E1330" s="3" t="s">
        <v>99</v>
      </c>
      <c r="F1330" s="3" t="s">
        <v>19</v>
      </c>
      <c r="G1330" s="4">
        <v>0</v>
      </c>
      <c r="H1330" s="4">
        <v>131482540</v>
      </c>
      <c r="I1330" s="3" t="s">
        <v>67</v>
      </c>
      <c r="J1330" s="4">
        <v>100</v>
      </c>
      <c r="K1330" s="3" t="s">
        <v>21</v>
      </c>
      <c r="L1330" s="4">
        <v>35353500</v>
      </c>
      <c r="M1330" s="1">
        <f>O1330*J1330*K1330</f>
        <v>0</v>
      </c>
      <c r="N1330" s="3"/>
      <c r="O1330" s="2">
        <f>L1330/J1330*(1-K1330)</f>
        <v>353535</v>
      </c>
    </row>
    <row r="1331" ht="14.25">
      <c r="A1331" s="3" t="s">
        <v>602</v>
      </c>
      <c r="B1331" s="3" t="s">
        <v>793</v>
      </c>
      <c r="C1331" s="3" t="s">
        <v>1016</v>
      </c>
      <c r="D1331" s="3" t="s">
        <v>17</v>
      </c>
      <c r="E1331" s="3" t="s">
        <v>99</v>
      </c>
      <c r="F1331" s="3" t="s">
        <v>19</v>
      </c>
      <c r="G1331" s="4">
        <v>0</v>
      </c>
      <c r="H1331" s="4">
        <v>131482540</v>
      </c>
      <c r="I1331" s="3" t="s">
        <v>452</v>
      </c>
      <c r="J1331" s="4">
        <v>120</v>
      </c>
      <c r="K1331" s="3" t="s">
        <v>21</v>
      </c>
      <c r="L1331" s="4">
        <v>22364160</v>
      </c>
      <c r="M1331" s="1">
        <f>O1331*J1331*K1331</f>
        <v>0</v>
      </c>
      <c r="N1331" s="3"/>
      <c r="O1331" s="2">
        <f>L1331/J1331*(1-K1331)</f>
        <v>186368</v>
      </c>
    </row>
    <row r="1332" ht="14.25">
      <c r="A1332" s="3" t="s">
        <v>602</v>
      </c>
      <c r="B1332" s="3" t="s">
        <v>793</v>
      </c>
      <c r="C1332" s="3" t="s">
        <v>1016</v>
      </c>
      <c r="D1332" s="3" t="s">
        <v>17</v>
      </c>
      <c r="E1332" s="3" t="s">
        <v>99</v>
      </c>
      <c r="F1332" s="3" t="s">
        <v>19</v>
      </c>
      <c r="G1332" s="4">
        <v>0</v>
      </c>
      <c r="H1332" s="4">
        <v>131482540</v>
      </c>
      <c r="I1332" s="3" t="s">
        <v>66</v>
      </c>
      <c r="J1332" s="4">
        <v>30</v>
      </c>
      <c r="K1332" s="3" t="s">
        <v>21</v>
      </c>
      <c r="L1332" s="4">
        <v>12164880</v>
      </c>
      <c r="M1332" s="1">
        <f>O1332*J1332*K1332</f>
        <v>0</v>
      </c>
      <c r="N1332" s="3"/>
      <c r="O1332" s="2">
        <f>L1332/J1332*(1-K1332)</f>
        <v>405496</v>
      </c>
    </row>
    <row r="1333" ht="14.25">
      <c r="A1333" s="3" t="s">
        <v>602</v>
      </c>
      <c r="B1333" s="3" t="s">
        <v>793</v>
      </c>
      <c r="C1333" s="3" t="s">
        <v>1016</v>
      </c>
      <c r="D1333" s="3" t="s">
        <v>17</v>
      </c>
      <c r="E1333" s="3" t="s">
        <v>99</v>
      </c>
      <c r="F1333" s="3" t="s">
        <v>19</v>
      </c>
      <c r="G1333" s="4">
        <v>0</v>
      </c>
      <c r="H1333" s="4">
        <v>131482540</v>
      </c>
      <c r="I1333" s="3" t="s">
        <v>105</v>
      </c>
      <c r="J1333" s="4">
        <v>2</v>
      </c>
      <c r="K1333" s="3" t="s">
        <v>21</v>
      </c>
      <c r="L1333" s="4">
        <v>11600000</v>
      </c>
      <c r="M1333" s="1">
        <f>O1333*J1333*K1333</f>
        <v>0</v>
      </c>
      <c r="N1333" s="3"/>
      <c r="O1333" s="2">
        <f>L1333/J1333*(1-K1333)</f>
        <v>5800000</v>
      </c>
    </row>
    <row r="1334" ht="14.25">
      <c r="A1334" s="3" t="s">
        <v>602</v>
      </c>
      <c r="B1334" s="3" t="s">
        <v>793</v>
      </c>
      <c r="C1334" s="3" t="s">
        <v>1016</v>
      </c>
      <c r="D1334" s="3" t="s">
        <v>17</v>
      </c>
      <c r="E1334" s="3" t="s">
        <v>99</v>
      </c>
      <c r="F1334" s="3" t="s">
        <v>19</v>
      </c>
      <c r="G1334" s="4">
        <v>0</v>
      </c>
      <c r="H1334" s="4">
        <v>131482540</v>
      </c>
      <c r="I1334" s="3" t="s">
        <v>172</v>
      </c>
      <c r="J1334" s="4">
        <v>20</v>
      </c>
      <c r="K1334" s="3" t="s">
        <v>21</v>
      </c>
      <c r="L1334" s="4">
        <v>12400000</v>
      </c>
      <c r="M1334" s="1">
        <f>O1334*J1334*K1334</f>
        <v>0</v>
      </c>
      <c r="N1334" s="3"/>
      <c r="O1334" s="2">
        <f>L1334/J1334*(1-K1334)</f>
        <v>620000</v>
      </c>
    </row>
    <row r="1335" ht="14.25">
      <c r="A1335" s="3" t="s">
        <v>602</v>
      </c>
      <c r="B1335" s="3" t="s">
        <v>793</v>
      </c>
      <c r="C1335" s="3" t="s">
        <v>1016</v>
      </c>
      <c r="D1335" s="3" t="s">
        <v>17</v>
      </c>
      <c r="E1335" s="3" t="s">
        <v>99</v>
      </c>
      <c r="F1335" s="3" t="s">
        <v>19</v>
      </c>
      <c r="G1335" s="4">
        <v>0</v>
      </c>
      <c r="H1335" s="4">
        <v>131482540</v>
      </c>
      <c r="I1335" s="3" t="s">
        <v>147</v>
      </c>
      <c r="J1335" s="4">
        <v>10</v>
      </c>
      <c r="K1335" s="3" t="s">
        <v>21</v>
      </c>
      <c r="L1335" s="4">
        <v>6200000</v>
      </c>
      <c r="M1335" s="1">
        <f>O1335*J1335*K1335</f>
        <v>0</v>
      </c>
      <c r="N1335" s="3"/>
      <c r="O1335" s="2">
        <f>L1335/J1335*(1-K1335)</f>
        <v>620000</v>
      </c>
    </row>
    <row r="1336" ht="14.25">
      <c r="A1336" s="3" t="s">
        <v>602</v>
      </c>
      <c r="B1336" s="3" t="s">
        <v>793</v>
      </c>
      <c r="C1336" s="3" t="s">
        <v>1016</v>
      </c>
      <c r="D1336" s="3" t="s">
        <v>17</v>
      </c>
      <c r="E1336" s="3" t="s">
        <v>99</v>
      </c>
      <c r="F1336" s="3" t="s">
        <v>19</v>
      </c>
      <c r="G1336" s="4">
        <v>0</v>
      </c>
      <c r="H1336" s="4">
        <v>131482540</v>
      </c>
      <c r="I1336" s="3" t="s">
        <v>79</v>
      </c>
      <c r="J1336" s="4">
        <v>10</v>
      </c>
      <c r="K1336" s="3" t="s">
        <v>21</v>
      </c>
      <c r="L1336" s="4">
        <v>6200000</v>
      </c>
      <c r="M1336" s="1">
        <f>O1336*J1336*K1336</f>
        <v>0</v>
      </c>
      <c r="N1336" s="3"/>
      <c r="O1336" s="2">
        <f>L1336/J1336*(1-K1336)</f>
        <v>620000</v>
      </c>
    </row>
    <row r="1337" ht="14.25">
      <c r="A1337" s="3" t="s">
        <v>602</v>
      </c>
      <c r="B1337" s="3" t="s">
        <v>793</v>
      </c>
      <c r="C1337" s="3" t="s">
        <v>1016</v>
      </c>
      <c r="D1337" s="3" t="s">
        <v>17</v>
      </c>
      <c r="E1337" s="3" t="s">
        <v>99</v>
      </c>
      <c r="F1337" s="3" t="s">
        <v>19</v>
      </c>
      <c r="G1337" s="4">
        <v>0</v>
      </c>
      <c r="H1337" s="4">
        <v>131482540</v>
      </c>
      <c r="I1337" s="3" t="s">
        <v>89</v>
      </c>
      <c r="J1337" s="4">
        <v>10</v>
      </c>
      <c r="K1337" s="3" t="s">
        <v>21</v>
      </c>
      <c r="L1337" s="4">
        <v>6200000</v>
      </c>
      <c r="M1337" s="1">
        <f>O1337*J1337*K1337</f>
        <v>0</v>
      </c>
      <c r="N1337" s="3"/>
      <c r="O1337" s="2">
        <f>L1337/J1337*(1-K1337)</f>
        <v>620000</v>
      </c>
    </row>
    <row r="1338" ht="14.25">
      <c r="A1338" s="3" t="s">
        <v>602</v>
      </c>
      <c r="B1338" s="3" t="s">
        <v>602</v>
      </c>
      <c r="C1338" s="3" t="s">
        <v>1017</v>
      </c>
      <c r="D1338" s="3" t="s">
        <v>17</v>
      </c>
      <c r="E1338" s="3" t="s">
        <v>293</v>
      </c>
      <c r="F1338" s="3" t="s">
        <v>19</v>
      </c>
      <c r="G1338" s="4">
        <v>0</v>
      </c>
      <c r="H1338" s="4">
        <v>15220248</v>
      </c>
      <c r="I1338" s="3" t="s">
        <v>47</v>
      </c>
      <c r="J1338" s="4">
        <v>312</v>
      </c>
      <c r="K1338" s="3" t="s">
        <v>21</v>
      </c>
      <c r="L1338" s="4">
        <v>8840208</v>
      </c>
      <c r="M1338" s="1">
        <f>O1338*J1338*K1338</f>
        <v>0</v>
      </c>
      <c r="N1338" s="3"/>
      <c r="O1338" s="2">
        <f>L1338/J1338*(1-K1338)</f>
        <v>28334</v>
      </c>
    </row>
    <row r="1339" ht="14.25">
      <c r="A1339" s="3" t="s">
        <v>602</v>
      </c>
      <c r="B1339" s="3" t="s">
        <v>602</v>
      </c>
      <c r="C1339" s="3" t="s">
        <v>1017</v>
      </c>
      <c r="D1339" s="3" t="s">
        <v>17</v>
      </c>
      <c r="E1339" s="3" t="s">
        <v>293</v>
      </c>
      <c r="F1339" s="3" t="s">
        <v>19</v>
      </c>
      <c r="G1339" s="4">
        <v>0</v>
      </c>
      <c r="H1339" s="4">
        <v>15220248</v>
      </c>
      <c r="I1339" s="3" t="s">
        <v>298</v>
      </c>
      <c r="J1339" s="4">
        <v>48</v>
      </c>
      <c r="K1339" s="3" t="s">
        <v>21</v>
      </c>
      <c r="L1339" s="4">
        <v>1220016</v>
      </c>
      <c r="M1339" s="1">
        <f>O1339*J1339*K1339</f>
        <v>0</v>
      </c>
      <c r="N1339" s="3"/>
      <c r="O1339" s="2">
        <f>L1339/J1339*(1-K1339)</f>
        <v>25417</v>
      </c>
    </row>
    <row r="1340" ht="14.25">
      <c r="A1340" s="3" t="s">
        <v>602</v>
      </c>
      <c r="B1340" s="3" t="s">
        <v>602</v>
      </c>
      <c r="C1340" s="3" t="s">
        <v>1017</v>
      </c>
      <c r="D1340" s="3" t="s">
        <v>17</v>
      </c>
      <c r="E1340" s="3" t="s">
        <v>293</v>
      </c>
      <c r="F1340" s="3" t="s">
        <v>19</v>
      </c>
      <c r="G1340" s="4">
        <v>0</v>
      </c>
      <c r="H1340" s="4">
        <v>15220248</v>
      </c>
      <c r="I1340" s="3" t="s">
        <v>1018</v>
      </c>
      <c r="J1340" s="4">
        <v>24</v>
      </c>
      <c r="K1340" s="3" t="s">
        <v>21</v>
      </c>
      <c r="L1340" s="4">
        <v>670008</v>
      </c>
      <c r="M1340" s="1">
        <f>O1340*J1340*K1340</f>
        <v>0</v>
      </c>
      <c r="N1340" s="3"/>
      <c r="O1340" s="2">
        <f>L1340/J1340*(1-K1340)</f>
        <v>27917</v>
      </c>
    </row>
    <row r="1341" ht="14.25">
      <c r="A1341" s="3" t="s">
        <v>602</v>
      </c>
      <c r="B1341" s="3" t="s">
        <v>602</v>
      </c>
      <c r="C1341" s="3" t="s">
        <v>1017</v>
      </c>
      <c r="D1341" s="3" t="s">
        <v>17</v>
      </c>
      <c r="E1341" s="3" t="s">
        <v>293</v>
      </c>
      <c r="F1341" s="3" t="s">
        <v>19</v>
      </c>
      <c r="G1341" s="4">
        <v>0</v>
      </c>
      <c r="H1341" s="4">
        <v>15220248</v>
      </c>
      <c r="I1341" s="3" t="s">
        <v>380</v>
      </c>
      <c r="J1341" s="4">
        <v>24</v>
      </c>
      <c r="K1341" s="3" t="s">
        <v>21</v>
      </c>
      <c r="L1341" s="4">
        <v>680016</v>
      </c>
      <c r="M1341" s="1">
        <f>O1341*J1341*K1341</f>
        <v>0</v>
      </c>
      <c r="N1341" s="3"/>
      <c r="O1341" s="2">
        <f>L1341/J1341*(1-K1341)</f>
        <v>28334</v>
      </c>
    </row>
    <row r="1342" ht="14.25">
      <c r="A1342" s="3" t="s">
        <v>602</v>
      </c>
      <c r="B1342" s="3" t="s">
        <v>602</v>
      </c>
      <c r="C1342" s="3" t="s">
        <v>1017</v>
      </c>
      <c r="D1342" s="3" t="s">
        <v>17</v>
      </c>
      <c r="E1342" s="3" t="s">
        <v>293</v>
      </c>
      <c r="F1342" s="3" t="s">
        <v>19</v>
      </c>
      <c r="G1342" s="4">
        <v>0</v>
      </c>
      <c r="H1342" s="4">
        <v>15220248</v>
      </c>
      <c r="I1342" s="3" t="s">
        <v>884</v>
      </c>
      <c r="J1342" s="4">
        <v>24</v>
      </c>
      <c r="K1342" s="3" t="s">
        <v>21</v>
      </c>
      <c r="L1342" s="4">
        <v>720000</v>
      </c>
      <c r="M1342" s="1">
        <f>O1342*J1342*K1342</f>
        <v>0</v>
      </c>
      <c r="N1342" s="3"/>
      <c r="O1342" s="2">
        <f>L1342/J1342*(1-K1342)</f>
        <v>30000</v>
      </c>
    </row>
    <row r="1343" ht="14.25">
      <c r="A1343" s="3" t="s">
        <v>602</v>
      </c>
      <c r="B1343" s="3" t="s">
        <v>602</v>
      </c>
      <c r="C1343" s="3" t="s">
        <v>1017</v>
      </c>
      <c r="D1343" s="3" t="s">
        <v>17</v>
      </c>
      <c r="E1343" s="3" t="s">
        <v>293</v>
      </c>
      <c r="F1343" s="3" t="s">
        <v>19</v>
      </c>
      <c r="G1343" s="4">
        <v>0</v>
      </c>
      <c r="H1343" s="4">
        <v>15220248</v>
      </c>
      <c r="I1343" s="3" t="s">
        <v>419</v>
      </c>
      <c r="J1343" s="4">
        <v>96</v>
      </c>
      <c r="K1343" s="3" t="s">
        <v>21</v>
      </c>
      <c r="L1343" s="4">
        <v>2880000</v>
      </c>
      <c r="M1343" s="1">
        <f>O1343*J1343*K1343</f>
        <v>0</v>
      </c>
      <c r="N1343" s="3"/>
      <c r="O1343" s="2">
        <f>L1343/J1343*(1-K1343)</f>
        <v>30000</v>
      </c>
    </row>
    <row r="1344" ht="14.25">
      <c r="A1344" s="3" t="s">
        <v>602</v>
      </c>
      <c r="B1344" s="3" t="s">
        <v>602</v>
      </c>
      <c r="C1344" s="3" t="s">
        <v>1017</v>
      </c>
      <c r="D1344" s="3" t="s">
        <v>17</v>
      </c>
      <c r="E1344" s="3" t="s">
        <v>293</v>
      </c>
      <c r="F1344" s="3" t="s">
        <v>19</v>
      </c>
      <c r="G1344" s="4">
        <v>0</v>
      </c>
      <c r="H1344" s="4">
        <v>15220248</v>
      </c>
      <c r="I1344" s="3" t="s">
        <v>415</v>
      </c>
      <c r="J1344" s="4">
        <v>6</v>
      </c>
      <c r="K1344" s="3" t="s">
        <v>21</v>
      </c>
      <c r="L1344" s="4">
        <v>210000</v>
      </c>
      <c r="M1344" s="1">
        <f>O1344*J1344*K1344</f>
        <v>0</v>
      </c>
      <c r="N1344" s="3"/>
      <c r="O1344" s="2">
        <f>L1344/J1344*(1-K1344)</f>
        <v>35000</v>
      </c>
    </row>
    <row r="1345" ht="14.25">
      <c r="A1345" s="3" t="s">
        <v>602</v>
      </c>
      <c r="B1345" s="3" t="s">
        <v>1019</v>
      </c>
      <c r="C1345" s="3" t="s">
        <v>1020</v>
      </c>
      <c r="D1345" s="3" t="s">
        <v>17</v>
      </c>
      <c r="E1345" s="3" t="s">
        <v>726</v>
      </c>
      <c r="F1345" s="3" t="s">
        <v>19</v>
      </c>
      <c r="G1345" s="4">
        <v>0</v>
      </c>
      <c r="H1345" s="4">
        <v>2500000</v>
      </c>
      <c r="I1345" s="3" t="s">
        <v>731</v>
      </c>
      <c r="J1345" s="4">
        <v>5</v>
      </c>
      <c r="K1345" s="3" t="s">
        <v>21</v>
      </c>
      <c r="L1345" s="4">
        <v>2500000</v>
      </c>
      <c r="M1345" s="1">
        <f>O1345*J1345*K1345</f>
        <v>0</v>
      </c>
      <c r="N1345" s="3"/>
      <c r="O1345" s="2">
        <f>L1345/J1345*(1-K1345)</f>
        <v>500000</v>
      </c>
    </row>
    <row r="1346" ht="14.25">
      <c r="A1346" s="3" t="s">
        <v>602</v>
      </c>
      <c r="B1346" s="3" t="s">
        <v>1019</v>
      </c>
      <c r="C1346" s="3" t="s">
        <v>1021</v>
      </c>
      <c r="D1346" s="3" t="s">
        <v>17</v>
      </c>
      <c r="E1346" s="3" t="s">
        <v>1022</v>
      </c>
      <c r="F1346" s="3" t="s">
        <v>19</v>
      </c>
      <c r="G1346" s="4">
        <v>0</v>
      </c>
      <c r="H1346" s="4">
        <v>4200000</v>
      </c>
      <c r="I1346" s="3" t="s">
        <v>497</v>
      </c>
      <c r="J1346" s="4">
        <v>1</v>
      </c>
      <c r="K1346" s="3" t="s">
        <v>21</v>
      </c>
      <c r="L1346" s="4">
        <v>4200000</v>
      </c>
      <c r="M1346" s="1">
        <f>O1346*J1346*K1346</f>
        <v>0</v>
      </c>
      <c r="N1346" s="3"/>
      <c r="O1346" s="2">
        <f>L1346/J1346*(1-K1346)</f>
        <v>4200000</v>
      </c>
    </row>
    <row r="1347" ht="14.25">
      <c r="A1347" s="3" t="s">
        <v>602</v>
      </c>
      <c r="B1347" s="3" t="s">
        <v>602</v>
      </c>
      <c r="C1347" s="3" t="s">
        <v>1023</v>
      </c>
      <c r="D1347" s="3" t="s">
        <v>17</v>
      </c>
      <c r="E1347" s="3" t="s">
        <v>228</v>
      </c>
      <c r="F1347" s="3" t="s">
        <v>19</v>
      </c>
      <c r="G1347" s="4">
        <v>0</v>
      </c>
      <c r="H1347" s="4">
        <v>600000</v>
      </c>
      <c r="I1347" s="3" t="s">
        <v>29</v>
      </c>
      <c r="J1347" s="4">
        <v>1</v>
      </c>
      <c r="K1347" s="3" t="s">
        <v>21</v>
      </c>
      <c r="L1347" s="4">
        <v>600000</v>
      </c>
      <c r="M1347" s="1">
        <f>O1347*J1347*K1347</f>
        <v>0</v>
      </c>
      <c r="N1347" s="3"/>
      <c r="O1347" s="2">
        <f>L1347/J1347*(1-K1347)</f>
        <v>600000</v>
      </c>
    </row>
    <row r="1348" ht="14.25">
      <c r="A1348" s="3" t="s">
        <v>644</v>
      </c>
      <c r="B1348" s="3" t="s">
        <v>858</v>
      </c>
      <c r="C1348" s="3" t="s">
        <v>1024</v>
      </c>
      <c r="D1348" s="3" t="s">
        <v>17</v>
      </c>
      <c r="E1348" s="3" t="s">
        <v>34</v>
      </c>
      <c r="F1348" s="3" t="s">
        <v>19</v>
      </c>
      <c r="G1348" s="4">
        <v>0</v>
      </c>
      <c r="H1348" s="4">
        <v>17566872</v>
      </c>
      <c r="I1348" s="3" t="s">
        <v>129</v>
      </c>
      <c r="J1348" s="4">
        <v>20</v>
      </c>
      <c r="K1348" s="3" t="s">
        <v>21</v>
      </c>
      <c r="L1348" s="4">
        <v>1474520</v>
      </c>
      <c r="M1348" s="1">
        <f>O1348*J1348*K1348</f>
        <v>0</v>
      </c>
      <c r="N1348" s="3"/>
      <c r="O1348" s="2">
        <f>L1348/J1348*(1-K1348)</f>
        <v>73726</v>
      </c>
    </row>
    <row r="1349" ht="14.25">
      <c r="A1349" s="3" t="s">
        <v>644</v>
      </c>
      <c r="B1349" s="3" t="s">
        <v>858</v>
      </c>
      <c r="C1349" s="3" t="s">
        <v>1024</v>
      </c>
      <c r="D1349" s="3" t="s">
        <v>17</v>
      </c>
      <c r="E1349" s="3" t="s">
        <v>34</v>
      </c>
      <c r="F1349" s="3" t="s">
        <v>19</v>
      </c>
      <c r="G1349" s="4">
        <v>0</v>
      </c>
      <c r="H1349" s="4">
        <v>17566872</v>
      </c>
      <c r="I1349" s="3" t="s">
        <v>124</v>
      </c>
      <c r="J1349" s="4">
        <v>24</v>
      </c>
      <c r="K1349" s="3" t="s">
        <v>21</v>
      </c>
      <c r="L1349" s="4">
        <v>528000</v>
      </c>
      <c r="M1349" s="1">
        <f>O1349*J1349*K1349</f>
        <v>0</v>
      </c>
      <c r="N1349" s="3"/>
      <c r="O1349" s="2">
        <f>L1349/J1349*(1-K1349)</f>
        <v>22000</v>
      </c>
    </row>
    <row r="1350" ht="14.25">
      <c r="A1350" s="3" t="s">
        <v>644</v>
      </c>
      <c r="B1350" s="3" t="s">
        <v>858</v>
      </c>
      <c r="C1350" s="3" t="s">
        <v>1024</v>
      </c>
      <c r="D1350" s="3" t="s">
        <v>17</v>
      </c>
      <c r="E1350" s="3" t="s">
        <v>34</v>
      </c>
      <c r="F1350" s="3" t="s">
        <v>19</v>
      </c>
      <c r="G1350" s="4">
        <v>0</v>
      </c>
      <c r="H1350" s="4">
        <v>17566872</v>
      </c>
      <c r="I1350" s="3" t="s">
        <v>55</v>
      </c>
      <c r="J1350" s="4">
        <v>8</v>
      </c>
      <c r="K1350" s="3" t="s">
        <v>21</v>
      </c>
      <c r="L1350" s="4">
        <v>1624352</v>
      </c>
      <c r="M1350" s="1">
        <f>O1350*J1350*K1350</f>
        <v>0</v>
      </c>
      <c r="N1350" s="3"/>
      <c r="O1350" s="2">
        <f>L1350/J1350*(1-K1350)</f>
        <v>203044</v>
      </c>
    </row>
    <row r="1351" ht="14.25">
      <c r="A1351" s="3" t="s">
        <v>644</v>
      </c>
      <c r="B1351" s="3" t="s">
        <v>858</v>
      </c>
      <c r="C1351" s="3" t="s">
        <v>1024</v>
      </c>
      <c r="D1351" s="3" t="s">
        <v>17</v>
      </c>
      <c r="E1351" s="3" t="s">
        <v>34</v>
      </c>
      <c r="F1351" s="3" t="s">
        <v>19</v>
      </c>
      <c r="G1351" s="4">
        <v>0</v>
      </c>
      <c r="H1351" s="4">
        <v>17566872</v>
      </c>
      <c r="I1351" s="3" t="s">
        <v>123</v>
      </c>
      <c r="J1351" s="4">
        <v>5</v>
      </c>
      <c r="K1351" s="3" t="s">
        <v>21</v>
      </c>
      <c r="L1351" s="4">
        <v>1700000</v>
      </c>
      <c r="M1351" s="1">
        <f>O1351*J1351*K1351</f>
        <v>0</v>
      </c>
      <c r="N1351" s="3"/>
      <c r="O1351" s="2">
        <f>L1351/J1351*(1-K1351)</f>
        <v>340000</v>
      </c>
    </row>
    <row r="1352" ht="14.25">
      <c r="A1352" s="3" t="s">
        <v>644</v>
      </c>
      <c r="B1352" s="3" t="s">
        <v>858</v>
      </c>
      <c r="C1352" s="3" t="s">
        <v>1024</v>
      </c>
      <c r="D1352" s="3" t="s">
        <v>17</v>
      </c>
      <c r="E1352" s="3" t="s">
        <v>34</v>
      </c>
      <c r="F1352" s="3" t="s">
        <v>19</v>
      </c>
      <c r="G1352" s="4">
        <v>0</v>
      </c>
      <c r="H1352" s="4">
        <v>17566872</v>
      </c>
      <c r="I1352" s="3" t="s">
        <v>121</v>
      </c>
      <c r="J1352" s="4">
        <v>1</v>
      </c>
      <c r="K1352" s="3" t="s">
        <v>21</v>
      </c>
      <c r="L1352" s="4">
        <v>3300000</v>
      </c>
      <c r="M1352" s="1">
        <f>O1352*J1352*K1352</f>
        <v>0</v>
      </c>
      <c r="N1352" s="3"/>
      <c r="O1352" s="2">
        <f>L1352/J1352*(1-K1352)</f>
        <v>3300000</v>
      </c>
    </row>
    <row r="1353" ht="14.25">
      <c r="A1353" s="3" t="s">
        <v>644</v>
      </c>
      <c r="B1353" s="3" t="s">
        <v>858</v>
      </c>
      <c r="C1353" s="3" t="s">
        <v>1024</v>
      </c>
      <c r="D1353" s="3" t="s">
        <v>17</v>
      </c>
      <c r="E1353" s="3" t="s">
        <v>34</v>
      </c>
      <c r="F1353" s="3" t="s">
        <v>19</v>
      </c>
      <c r="G1353" s="4">
        <v>0</v>
      </c>
      <c r="H1353" s="4">
        <v>17566872</v>
      </c>
      <c r="I1353" s="3" t="s">
        <v>39</v>
      </c>
      <c r="J1353" s="4">
        <v>2</v>
      </c>
      <c r="K1353" s="3" t="s">
        <v>21</v>
      </c>
      <c r="L1353" s="4">
        <v>6600000</v>
      </c>
      <c r="M1353" s="1">
        <f>O1353*J1353*K1353</f>
        <v>0</v>
      </c>
      <c r="N1353" s="3"/>
      <c r="O1353" s="2">
        <f>L1353/J1353*(1-K1353)</f>
        <v>3300000</v>
      </c>
    </row>
    <row r="1354" ht="14.25">
      <c r="A1354" s="3" t="s">
        <v>644</v>
      </c>
      <c r="B1354" s="3" t="s">
        <v>858</v>
      </c>
      <c r="C1354" s="3" t="s">
        <v>1024</v>
      </c>
      <c r="D1354" s="3" t="s">
        <v>17</v>
      </c>
      <c r="E1354" s="3" t="s">
        <v>34</v>
      </c>
      <c r="F1354" s="3" t="s">
        <v>19</v>
      </c>
      <c r="G1354" s="4">
        <v>0</v>
      </c>
      <c r="H1354" s="4">
        <v>17566872</v>
      </c>
      <c r="I1354" s="3" t="s">
        <v>593</v>
      </c>
      <c r="J1354" s="4">
        <v>2</v>
      </c>
      <c r="K1354" s="3" t="s">
        <v>21</v>
      </c>
      <c r="L1354" s="4">
        <v>1240000</v>
      </c>
      <c r="M1354" s="1">
        <f>O1354*J1354*K1354</f>
        <v>0</v>
      </c>
      <c r="N1354" s="3"/>
      <c r="O1354" s="2">
        <f>L1354/J1354*(1-K1354)</f>
        <v>620000</v>
      </c>
    </row>
    <row r="1355" ht="14.25">
      <c r="A1355" s="3" t="s">
        <v>644</v>
      </c>
      <c r="B1355" s="3" t="s">
        <v>858</v>
      </c>
      <c r="C1355" s="3" t="s">
        <v>1024</v>
      </c>
      <c r="D1355" s="3" t="s">
        <v>17</v>
      </c>
      <c r="E1355" s="3" t="s">
        <v>34</v>
      </c>
      <c r="F1355" s="3" t="s">
        <v>19</v>
      </c>
      <c r="G1355" s="4">
        <v>0</v>
      </c>
      <c r="H1355" s="4">
        <v>17566872</v>
      </c>
      <c r="I1355" s="3" t="s">
        <v>120</v>
      </c>
      <c r="J1355" s="4">
        <v>5</v>
      </c>
      <c r="K1355" s="3" t="s">
        <v>21</v>
      </c>
      <c r="L1355" s="4">
        <v>1100000</v>
      </c>
      <c r="M1355" s="1">
        <f>O1355*J1355*K1355</f>
        <v>0</v>
      </c>
      <c r="N1355" s="3"/>
      <c r="O1355" s="2">
        <f>L1355/J1355*(1-K1355)</f>
        <v>220000</v>
      </c>
    </row>
    <row r="1356" ht="14.25">
      <c r="A1356" s="3" t="s">
        <v>644</v>
      </c>
      <c r="B1356" s="3" t="s">
        <v>644</v>
      </c>
      <c r="C1356" s="3" t="s">
        <v>1025</v>
      </c>
      <c r="D1356" s="3" t="s">
        <v>17</v>
      </c>
      <c r="E1356" s="3" t="s">
        <v>351</v>
      </c>
      <c r="F1356" s="3" t="s">
        <v>19</v>
      </c>
      <c r="G1356" s="4">
        <v>0</v>
      </c>
      <c r="H1356" s="4">
        <v>44275244</v>
      </c>
      <c r="I1356" s="3" t="s">
        <v>86</v>
      </c>
      <c r="J1356" s="4">
        <v>4</v>
      </c>
      <c r="K1356" s="3" t="s">
        <v>21</v>
      </c>
      <c r="L1356" s="4">
        <v>20800000</v>
      </c>
      <c r="M1356" s="1">
        <f>O1356*J1356*K1356</f>
        <v>0</v>
      </c>
      <c r="N1356" s="3"/>
      <c r="O1356" s="2">
        <f>L1356/J1356*(1-K1356)</f>
        <v>5200000</v>
      </c>
    </row>
    <row r="1357" ht="14.25">
      <c r="A1357" s="3" t="s">
        <v>644</v>
      </c>
      <c r="B1357" s="3" t="s">
        <v>644</v>
      </c>
      <c r="C1357" s="3" t="s">
        <v>1025</v>
      </c>
      <c r="D1357" s="3" t="s">
        <v>17</v>
      </c>
      <c r="E1357" s="3" t="s">
        <v>351</v>
      </c>
      <c r="F1357" s="3" t="s">
        <v>19</v>
      </c>
      <c r="G1357" s="4">
        <v>0</v>
      </c>
      <c r="H1357" s="4">
        <v>44275244</v>
      </c>
      <c r="I1357" s="3" t="s">
        <v>105</v>
      </c>
      <c r="J1357" s="4">
        <v>2</v>
      </c>
      <c r="K1357" s="3" t="s">
        <v>21</v>
      </c>
      <c r="L1357" s="4">
        <v>11800000</v>
      </c>
      <c r="M1357" s="1">
        <f>O1357*J1357*K1357</f>
        <v>0</v>
      </c>
      <c r="N1357" s="3"/>
      <c r="O1357" s="2">
        <f>L1357/J1357*(1-K1357)</f>
        <v>5900000</v>
      </c>
    </row>
    <row r="1358" ht="14.25">
      <c r="A1358" s="3" t="s">
        <v>644</v>
      </c>
      <c r="B1358" s="3" t="s">
        <v>644</v>
      </c>
      <c r="C1358" s="3" t="s">
        <v>1025</v>
      </c>
      <c r="D1358" s="3" t="s">
        <v>17</v>
      </c>
      <c r="E1358" s="3" t="s">
        <v>351</v>
      </c>
      <c r="F1358" s="3" t="s">
        <v>19</v>
      </c>
      <c r="G1358" s="4">
        <v>0</v>
      </c>
      <c r="H1358" s="4">
        <v>44275244</v>
      </c>
      <c r="I1358" s="3" t="s">
        <v>126</v>
      </c>
      <c r="J1358" s="4">
        <v>12</v>
      </c>
      <c r="K1358" s="3" t="s">
        <v>21</v>
      </c>
      <c r="L1358" s="4">
        <v>2848980</v>
      </c>
      <c r="M1358" s="1">
        <f>O1358*J1358*K1358</f>
        <v>0</v>
      </c>
      <c r="N1358" s="3"/>
      <c r="O1358" s="2">
        <f>L1358/J1358*(1-K1358)</f>
        <v>237415</v>
      </c>
    </row>
    <row r="1359" ht="14.25">
      <c r="A1359" s="3" t="s">
        <v>644</v>
      </c>
      <c r="B1359" s="3" t="s">
        <v>644</v>
      </c>
      <c r="C1359" s="3" t="s">
        <v>1025</v>
      </c>
      <c r="D1359" s="3" t="s">
        <v>17</v>
      </c>
      <c r="E1359" s="3" t="s">
        <v>351</v>
      </c>
      <c r="F1359" s="3" t="s">
        <v>19</v>
      </c>
      <c r="G1359" s="4">
        <v>0</v>
      </c>
      <c r="H1359" s="4">
        <v>44275244</v>
      </c>
      <c r="I1359" s="3" t="s">
        <v>187</v>
      </c>
      <c r="J1359" s="4">
        <v>20</v>
      </c>
      <c r="K1359" s="3" t="s">
        <v>21</v>
      </c>
      <c r="L1359" s="4">
        <v>938600</v>
      </c>
      <c r="M1359" s="1">
        <f>O1359*J1359*K1359</f>
        <v>0</v>
      </c>
      <c r="N1359" s="3"/>
      <c r="O1359" s="2">
        <f>L1359/J1359*(1-K1359)</f>
        <v>46930</v>
      </c>
    </row>
    <row r="1360" ht="14.25">
      <c r="A1360" s="3" t="s">
        <v>644</v>
      </c>
      <c r="B1360" s="3" t="s">
        <v>644</v>
      </c>
      <c r="C1360" s="3" t="s">
        <v>1025</v>
      </c>
      <c r="D1360" s="3" t="s">
        <v>17</v>
      </c>
      <c r="E1360" s="3" t="s">
        <v>351</v>
      </c>
      <c r="F1360" s="3" t="s">
        <v>19</v>
      </c>
      <c r="G1360" s="4">
        <v>0</v>
      </c>
      <c r="H1360" s="4">
        <v>44275244</v>
      </c>
      <c r="I1360" s="3" t="s">
        <v>125</v>
      </c>
      <c r="J1360" s="4">
        <v>12</v>
      </c>
      <c r="K1360" s="3" t="s">
        <v>21</v>
      </c>
      <c r="L1360" s="4">
        <v>2987664</v>
      </c>
      <c r="M1360" s="1">
        <f>O1360*J1360*K1360</f>
        <v>0</v>
      </c>
      <c r="N1360" s="3"/>
      <c r="O1360" s="2">
        <f>L1360/J1360*(1-K1360)</f>
        <v>248972</v>
      </c>
    </row>
    <row r="1361" ht="14.25">
      <c r="A1361" s="3" t="s">
        <v>644</v>
      </c>
      <c r="B1361" s="3" t="s">
        <v>644</v>
      </c>
      <c r="C1361" s="3" t="s">
        <v>1025</v>
      </c>
      <c r="D1361" s="3" t="s">
        <v>17</v>
      </c>
      <c r="E1361" s="3" t="s">
        <v>351</v>
      </c>
      <c r="F1361" s="3" t="s">
        <v>19</v>
      </c>
      <c r="G1361" s="4">
        <v>0</v>
      </c>
      <c r="H1361" s="4">
        <v>44275244</v>
      </c>
      <c r="I1361" s="3" t="s">
        <v>29</v>
      </c>
      <c r="J1361" s="4">
        <v>10</v>
      </c>
      <c r="K1361" s="3" t="s">
        <v>21</v>
      </c>
      <c r="L1361" s="4">
        <v>4900000</v>
      </c>
      <c r="M1361" s="1">
        <f>O1361*J1361*K1361</f>
        <v>0</v>
      </c>
      <c r="N1361" s="3"/>
      <c r="O1361" s="2">
        <f>L1361/J1361*(1-K1361)</f>
        <v>490000</v>
      </c>
    </row>
    <row r="1362" ht="14.25">
      <c r="A1362" s="3" t="s">
        <v>644</v>
      </c>
      <c r="B1362" s="3" t="s">
        <v>1026</v>
      </c>
      <c r="C1362" s="3" t="s">
        <v>1027</v>
      </c>
      <c r="D1362" s="3" t="s">
        <v>17</v>
      </c>
      <c r="E1362" s="3" t="s">
        <v>954</v>
      </c>
      <c r="F1362" s="3" t="s">
        <v>19</v>
      </c>
      <c r="G1362" s="4">
        <v>0</v>
      </c>
      <c r="H1362" s="4">
        <v>500000</v>
      </c>
      <c r="I1362" s="3" t="s">
        <v>731</v>
      </c>
      <c r="J1362" s="4">
        <v>1</v>
      </c>
      <c r="K1362" s="3" t="s">
        <v>21</v>
      </c>
      <c r="L1362" s="4">
        <v>500000</v>
      </c>
      <c r="M1362" s="1">
        <f>O1362*J1362*K1362</f>
        <v>0</v>
      </c>
      <c r="N1362" s="3"/>
      <c r="O1362" s="2">
        <f>L1362/J1362*(1-K1362)</f>
        <v>500000</v>
      </c>
    </row>
    <row r="1363" ht="14.25">
      <c r="A1363" s="3" t="s">
        <v>644</v>
      </c>
      <c r="B1363" s="3" t="s">
        <v>818</v>
      </c>
      <c r="C1363" s="3" t="s">
        <v>1028</v>
      </c>
      <c r="D1363" s="3" t="s">
        <v>17</v>
      </c>
      <c r="E1363" s="3" t="s">
        <v>846</v>
      </c>
      <c r="F1363" s="3" t="s">
        <v>19</v>
      </c>
      <c r="G1363" s="4">
        <v>0</v>
      </c>
      <c r="H1363" s="4">
        <v>2040000</v>
      </c>
      <c r="I1363" s="3" t="s">
        <v>172</v>
      </c>
      <c r="J1363" s="4">
        <v>3</v>
      </c>
      <c r="K1363" s="3" t="s">
        <v>21</v>
      </c>
      <c r="L1363" s="4">
        <v>2040000</v>
      </c>
      <c r="M1363" s="1">
        <f>O1363*J1363*K1363</f>
        <v>0</v>
      </c>
      <c r="N1363" s="3"/>
      <c r="O1363" s="2">
        <f>L1363/J1363*(1-K1363)</f>
        <v>680000</v>
      </c>
    </row>
    <row r="1364" ht="14.25">
      <c r="A1364" s="3" t="s">
        <v>644</v>
      </c>
      <c r="B1364" s="3" t="s">
        <v>644</v>
      </c>
      <c r="C1364" s="3" t="s">
        <v>1029</v>
      </c>
      <c r="D1364" s="3" t="s">
        <v>17</v>
      </c>
      <c r="E1364" s="3" t="s">
        <v>846</v>
      </c>
      <c r="F1364" s="3" t="s">
        <v>19</v>
      </c>
      <c r="G1364" s="4">
        <v>0</v>
      </c>
      <c r="H1364" s="4">
        <v>3600000</v>
      </c>
      <c r="I1364" s="3" t="s">
        <v>121</v>
      </c>
      <c r="J1364" s="4">
        <v>1</v>
      </c>
      <c r="K1364" s="3" t="s">
        <v>21</v>
      </c>
      <c r="L1364" s="4">
        <v>3600000</v>
      </c>
      <c r="M1364" s="1">
        <f>O1364*J1364*K1364</f>
        <v>0</v>
      </c>
      <c r="N1364" s="3"/>
      <c r="O1364" s="2">
        <f>L1364/J1364*(1-K1364)</f>
        <v>3600000</v>
      </c>
    </row>
    <row r="1365" ht="14.25">
      <c r="A1365" s="3" t="s">
        <v>644</v>
      </c>
      <c r="B1365" s="3" t="s">
        <v>858</v>
      </c>
      <c r="C1365" s="3" t="s">
        <v>1030</v>
      </c>
      <c r="D1365" s="3" t="s">
        <v>159</v>
      </c>
      <c r="E1365" s="3" t="s">
        <v>403</v>
      </c>
      <c r="F1365" s="3" t="s">
        <v>19</v>
      </c>
      <c r="G1365" s="4">
        <v>777991</v>
      </c>
      <c r="H1365" s="4">
        <v>2400000</v>
      </c>
      <c r="I1365" s="3" t="s">
        <v>335</v>
      </c>
      <c r="J1365" s="4">
        <v>2</v>
      </c>
      <c r="K1365" s="3" t="s">
        <v>21</v>
      </c>
      <c r="L1365" s="4">
        <v>2400000</v>
      </c>
      <c r="M1365" s="1">
        <f>O1365*J1365*K1365</f>
        <v>0</v>
      </c>
      <c r="N1365" s="3"/>
      <c r="O1365" s="2">
        <f>L1365/J1365*(1-K1365)</f>
        <v>1200000</v>
      </c>
    </row>
    <row r="1366" ht="14.25">
      <c r="A1366" s="3" t="s">
        <v>644</v>
      </c>
      <c r="B1366" s="3" t="s">
        <v>644</v>
      </c>
      <c r="C1366" s="3" t="s">
        <v>1031</v>
      </c>
      <c r="D1366" s="3" t="s">
        <v>17</v>
      </c>
      <c r="E1366" s="3" t="s">
        <v>31</v>
      </c>
      <c r="F1366" s="3" t="s">
        <v>19</v>
      </c>
      <c r="G1366" s="4">
        <v>0</v>
      </c>
      <c r="H1366" s="4">
        <v>600000</v>
      </c>
      <c r="I1366" s="3" t="s">
        <v>108</v>
      </c>
      <c r="J1366" s="4">
        <v>24</v>
      </c>
      <c r="K1366" s="3" t="s">
        <v>21</v>
      </c>
      <c r="L1366" s="4">
        <v>600000</v>
      </c>
      <c r="M1366" s="1">
        <f>O1366*J1366*K1366</f>
        <v>0</v>
      </c>
      <c r="N1366" s="3"/>
      <c r="O1366" s="2">
        <f>L1366/J1366*(1-K1366)</f>
        <v>25000</v>
      </c>
    </row>
    <row r="1367" ht="14.25">
      <c r="A1367" s="3" t="s">
        <v>656</v>
      </c>
      <c r="B1367" s="3" t="s">
        <v>656</v>
      </c>
      <c r="C1367" s="3" t="s">
        <v>1032</v>
      </c>
      <c r="D1367" s="3" t="s">
        <v>17</v>
      </c>
      <c r="E1367" s="3" t="s">
        <v>252</v>
      </c>
      <c r="F1367" s="3" t="s">
        <v>19</v>
      </c>
      <c r="G1367" s="4">
        <v>0</v>
      </c>
      <c r="H1367" s="4">
        <v>4200000</v>
      </c>
      <c r="I1367" s="3" t="s">
        <v>495</v>
      </c>
      <c r="J1367" s="4">
        <v>1</v>
      </c>
      <c r="K1367" s="3" t="s">
        <v>21</v>
      </c>
      <c r="L1367" s="4">
        <v>4200000</v>
      </c>
      <c r="M1367" s="1">
        <f>O1367*J1367*K1367</f>
        <v>0</v>
      </c>
      <c r="N1367" s="3"/>
      <c r="O1367" s="2">
        <f>L1367/J1367*(1-K1367)</f>
        <v>4200000</v>
      </c>
    </row>
    <row r="1368" ht="14.25">
      <c r="A1368" s="3" t="s">
        <v>656</v>
      </c>
      <c r="B1368" s="3" t="s">
        <v>1033</v>
      </c>
      <c r="C1368" s="3" t="s">
        <v>1034</v>
      </c>
      <c r="D1368" s="3" t="s">
        <v>17</v>
      </c>
      <c r="E1368" s="3" t="s">
        <v>43</v>
      </c>
      <c r="F1368" s="3" t="s">
        <v>19</v>
      </c>
      <c r="G1368" s="4">
        <v>0</v>
      </c>
      <c r="H1368" s="4">
        <v>11188092</v>
      </c>
      <c r="I1368" s="3" t="s">
        <v>424</v>
      </c>
      <c r="J1368" s="4">
        <v>48</v>
      </c>
      <c r="K1368" s="3" t="s">
        <v>21</v>
      </c>
      <c r="L1368" s="4">
        <v>1449984</v>
      </c>
      <c r="M1368" s="1">
        <f>O1368*J1368*K1368</f>
        <v>0</v>
      </c>
      <c r="N1368" s="3"/>
      <c r="O1368" s="2">
        <f>L1368/J1368*(1-K1368)</f>
        <v>30208</v>
      </c>
    </row>
    <row r="1369" ht="14.25">
      <c r="A1369" s="3" t="s">
        <v>656</v>
      </c>
      <c r="B1369" s="3" t="s">
        <v>1033</v>
      </c>
      <c r="C1369" s="3" t="s">
        <v>1034</v>
      </c>
      <c r="D1369" s="3" t="s">
        <v>17</v>
      </c>
      <c r="E1369" s="3" t="s">
        <v>43</v>
      </c>
      <c r="F1369" s="3" t="s">
        <v>19</v>
      </c>
      <c r="G1369" s="4">
        <v>0</v>
      </c>
      <c r="H1369" s="4">
        <v>11188092</v>
      </c>
      <c r="I1369" s="3" t="s">
        <v>46</v>
      </c>
      <c r="J1369" s="4">
        <v>24</v>
      </c>
      <c r="K1369" s="3" t="s">
        <v>21</v>
      </c>
      <c r="L1369" s="4">
        <v>850008</v>
      </c>
      <c r="M1369" s="1">
        <f>O1369*J1369*K1369</f>
        <v>0</v>
      </c>
      <c r="N1369" s="3"/>
      <c r="O1369" s="2">
        <f>L1369/J1369*(1-K1369)</f>
        <v>35417</v>
      </c>
    </row>
    <row r="1370" ht="14.25">
      <c r="A1370" s="3" t="s">
        <v>656</v>
      </c>
      <c r="B1370" s="3" t="s">
        <v>1033</v>
      </c>
      <c r="C1370" s="3" t="s">
        <v>1034</v>
      </c>
      <c r="D1370" s="3" t="s">
        <v>17</v>
      </c>
      <c r="E1370" s="3" t="s">
        <v>43</v>
      </c>
      <c r="F1370" s="3" t="s">
        <v>19</v>
      </c>
      <c r="G1370" s="4">
        <v>0</v>
      </c>
      <c r="H1370" s="4">
        <v>11188092</v>
      </c>
      <c r="I1370" s="3" t="s">
        <v>367</v>
      </c>
      <c r="J1370" s="4">
        <v>24</v>
      </c>
      <c r="K1370" s="3" t="s">
        <v>21</v>
      </c>
      <c r="L1370" s="4">
        <v>944016</v>
      </c>
      <c r="M1370" s="1">
        <f>O1370*J1370*K1370</f>
        <v>0</v>
      </c>
      <c r="N1370" s="3"/>
      <c r="O1370" s="2">
        <f>L1370/J1370*(1-K1370)</f>
        <v>39334</v>
      </c>
    </row>
    <row r="1371" ht="14.25">
      <c r="A1371" s="3" t="s">
        <v>656</v>
      </c>
      <c r="B1371" s="3" t="s">
        <v>1033</v>
      </c>
      <c r="C1371" s="3" t="s">
        <v>1034</v>
      </c>
      <c r="D1371" s="3" t="s">
        <v>17</v>
      </c>
      <c r="E1371" s="3" t="s">
        <v>43</v>
      </c>
      <c r="F1371" s="3" t="s">
        <v>19</v>
      </c>
      <c r="G1371" s="4">
        <v>0</v>
      </c>
      <c r="H1371" s="4">
        <v>11188092</v>
      </c>
      <c r="I1371" s="3" t="s">
        <v>44</v>
      </c>
      <c r="J1371" s="4">
        <v>72</v>
      </c>
      <c r="K1371" s="3" t="s">
        <v>21</v>
      </c>
      <c r="L1371" s="4">
        <v>2304000</v>
      </c>
      <c r="M1371" s="1">
        <f>O1371*J1371*K1371</f>
        <v>0</v>
      </c>
      <c r="N1371" s="3"/>
      <c r="O1371" s="2">
        <f>L1371/J1371*(1-K1371)</f>
        <v>32000</v>
      </c>
    </row>
    <row r="1372" ht="14.25">
      <c r="A1372" s="3" t="s">
        <v>656</v>
      </c>
      <c r="B1372" s="3" t="s">
        <v>1033</v>
      </c>
      <c r="C1372" s="3" t="s">
        <v>1034</v>
      </c>
      <c r="D1372" s="3" t="s">
        <v>17</v>
      </c>
      <c r="E1372" s="3" t="s">
        <v>43</v>
      </c>
      <c r="F1372" s="3" t="s">
        <v>19</v>
      </c>
      <c r="G1372" s="4">
        <v>0</v>
      </c>
      <c r="H1372" s="4">
        <v>11188092</v>
      </c>
      <c r="I1372" s="3" t="s">
        <v>45</v>
      </c>
      <c r="J1372" s="4">
        <v>72</v>
      </c>
      <c r="K1372" s="3" t="s">
        <v>21</v>
      </c>
      <c r="L1372" s="4">
        <v>2304000</v>
      </c>
      <c r="M1372" s="1">
        <f>O1372*J1372*K1372</f>
        <v>0</v>
      </c>
      <c r="N1372" s="3"/>
      <c r="O1372" s="2">
        <f>L1372/J1372*(1-K1372)</f>
        <v>32000</v>
      </c>
    </row>
    <row r="1373" ht="14.25">
      <c r="A1373" s="3" t="s">
        <v>656</v>
      </c>
      <c r="B1373" s="3" t="s">
        <v>1033</v>
      </c>
      <c r="C1373" s="3" t="s">
        <v>1034</v>
      </c>
      <c r="D1373" s="3" t="s">
        <v>17</v>
      </c>
      <c r="E1373" s="3" t="s">
        <v>43</v>
      </c>
      <c r="F1373" s="3" t="s">
        <v>19</v>
      </c>
      <c r="G1373" s="4">
        <v>0</v>
      </c>
      <c r="H1373" s="4">
        <v>11188092</v>
      </c>
      <c r="I1373" s="3" t="s">
        <v>281</v>
      </c>
      <c r="J1373" s="4">
        <v>96</v>
      </c>
      <c r="K1373" s="3" t="s">
        <v>21</v>
      </c>
      <c r="L1373" s="4">
        <v>1184064</v>
      </c>
      <c r="M1373" s="1">
        <f>O1373*J1373*K1373</f>
        <v>0</v>
      </c>
      <c r="N1373" s="3"/>
      <c r="O1373" s="2">
        <f>L1373/J1373*(1-K1373)</f>
        <v>12334</v>
      </c>
    </row>
    <row r="1374" ht="14.25">
      <c r="A1374" s="3" t="s">
        <v>656</v>
      </c>
      <c r="B1374" s="3" t="s">
        <v>1033</v>
      </c>
      <c r="C1374" s="3" t="s">
        <v>1034</v>
      </c>
      <c r="D1374" s="3" t="s">
        <v>17</v>
      </c>
      <c r="E1374" s="3" t="s">
        <v>43</v>
      </c>
      <c r="F1374" s="3" t="s">
        <v>19</v>
      </c>
      <c r="G1374" s="4">
        <v>0</v>
      </c>
      <c r="H1374" s="4">
        <v>11188092</v>
      </c>
      <c r="I1374" s="3" t="s">
        <v>114</v>
      </c>
      <c r="J1374" s="4">
        <v>36</v>
      </c>
      <c r="K1374" s="3" t="s">
        <v>21</v>
      </c>
      <c r="L1374" s="4">
        <v>1680012</v>
      </c>
      <c r="M1374" s="1">
        <f>O1374*J1374*K1374</f>
        <v>0</v>
      </c>
      <c r="N1374" s="3"/>
      <c r="O1374" s="2">
        <f>L1374/J1374*(1-K1374)</f>
        <v>46667</v>
      </c>
    </row>
    <row r="1375" ht="14.25">
      <c r="A1375" s="3" t="s">
        <v>656</v>
      </c>
      <c r="B1375" s="3" t="s">
        <v>1033</v>
      </c>
      <c r="C1375" s="3" t="s">
        <v>1034</v>
      </c>
      <c r="D1375" s="3" t="s">
        <v>17</v>
      </c>
      <c r="E1375" s="3" t="s">
        <v>43</v>
      </c>
      <c r="F1375" s="3" t="s">
        <v>19</v>
      </c>
      <c r="G1375" s="4">
        <v>0</v>
      </c>
      <c r="H1375" s="4">
        <v>11188092</v>
      </c>
      <c r="I1375" s="3" t="s">
        <v>112</v>
      </c>
      <c r="J1375" s="4">
        <v>12</v>
      </c>
      <c r="K1375" s="3" t="s">
        <v>21</v>
      </c>
      <c r="L1375" s="4">
        <v>472008</v>
      </c>
      <c r="M1375" s="1">
        <f>O1375*J1375*K1375</f>
        <v>0</v>
      </c>
      <c r="N1375" s="3"/>
      <c r="O1375" s="2">
        <f>L1375/J1375*(1-K1375)</f>
        <v>39334</v>
      </c>
    </row>
    <row r="1376" ht="14.25">
      <c r="A1376" s="3" t="s">
        <v>656</v>
      </c>
      <c r="B1376" s="3" t="s">
        <v>1033</v>
      </c>
      <c r="C1376" s="3" t="s">
        <v>1035</v>
      </c>
      <c r="D1376" s="3" t="s">
        <v>17</v>
      </c>
      <c r="E1376" s="3" t="s">
        <v>168</v>
      </c>
      <c r="F1376" s="3" t="s">
        <v>19</v>
      </c>
      <c r="G1376" s="4">
        <v>0</v>
      </c>
      <c r="H1376" s="4">
        <v>3880000</v>
      </c>
      <c r="I1376" s="3" t="s">
        <v>831</v>
      </c>
      <c r="J1376" s="4">
        <v>4</v>
      </c>
      <c r="K1376" s="3" t="s">
        <v>21</v>
      </c>
      <c r="L1376" s="4">
        <v>1400000</v>
      </c>
      <c r="M1376" s="1">
        <f>O1376*J1376*K1376</f>
        <v>0</v>
      </c>
      <c r="N1376" s="3"/>
      <c r="O1376" s="2">
        <f>L1376/J1376*(1-K1376)</f>
        <v>350000</v>
      </c>
    </row>
    <row r="1377" ht="14.25">
      <c r="A1377" s="3" t="s">
        <v>656</v>
      </c>
      <c r="B1377" s="3" t="s">
        <v>1033</v>
      </c>
      <c r="C1377" s="3" t="s">
        <v>1035</v>
      </c>
      <c r="D1377" s="3" t="s">
        <v>17</v>
      </c>
      <c r="E1377" s="3" t="s">
        <v>168</v>
      </c>
      <c r="F1377" s="3" t="s">
        <v>19</v>
      </c>
      <c r="G1377" s="4">
        <v>0</v>
      </c>
      <c r="H1377" s="4">
        <v>3880000</v>
      </c>
      <c r="I1377" s="3" t="s">
        <v>649</v>
      </c>
      <c r="J1377" s="4">
        <v>4</v>
      </c>
      <c r="K1377" s="3" t="s">
        <v>21</v>
      </c>
      <c r="L1377" s="4">
        <v>700000</v>
      </c>
      <c r="M1377" s="1">
        <f>O1377*J1377*K1377</f>
        <v>0</v>
      </c>
      <c r="N1377" s="3"/>
      <c r="O1377" s="2">
        <f>L1377/J1377*(1-K1377)</f>
        <v>175000</v>
      </c>
    </row>
    <row r="1378" ht="14.25">
      <c r="A1378" s="3" t="s">
        <v>656</v>
      </c>
      <c r="B1378" s="3" t="s">
        <v>1033</v>
      </c>
      <c r="C1378" s="3" t="s">
        <v>1035</v>
      </c>
      <c r="D1378" s="3" t="s">
        <v>17</v>
      </c>
      <c r="E1378" s="3" t="s">
        <v>168</v>
      </c>
      <c r="F1378" s="3" t="s">
        <v>19</v>
      </c>
      <c r="G1378" s="4">
        <v>0</v>
      </c>
      <c r="H1378" s="4">
        <v>3880000</v>
      </c>
      <c r="I1378" s="3" t="s">
        <v>114</v>
      </c>
      <c r="J1378" s="4">
        <v>12</v>
      </c>
      <c r="K1378" s="3" t="s">
        <v>21</v>
      </c>
      <c r="L1378" s="4">
        <v>540000</v>
      </c>
      <c r="M1378" s="1">
        <f>O1378*J1378*K1378</f>
        <v>0</v>
      </c>
      <c r="N1378" s="3"/>
      <c r="O1378" s="2">
        <f>L1378/J1378*(1-K1378)</f>
        <v>45000</v>
      </c>
    </row>
    <row r="1379" ht="14.25">
      <c r="A1379" s="3" t="s">
        <v>656</v>
      </c>
      <c r="B1379" s="3" t="s">
        <v>1033</v>
      </c>
      <c r="C1379" s="3" t="s">
        <v>1035</v>
      </c>
      <c r="D1379" s="3" t="s">
        <v>17</v>
      </c>
      <c r="E1379" s="3" t="s">
        <v>168</v>
      </c>
      <c r="F1379" s="3" t="s">
        <v>19</v>
      </c>
      <c r="G1379" s="4">
        <v>0</v>
      </c>
      <c r="H1379" s="4">
        <v>3880000</v>
      </c>
      <c r="I1379" s="3" t="s">
        <v>56</v>
      </c>
      <c r="J1379" s="4">
        <v>8</v>
      </c>
      <c r="K1379" s="3" t="s">
        <v>21</v>
      </c>
      <c r="L1379" s="4">
        <v>1240000</v>
      </c>
      <c r="M1379" s="1">
        <f>O1379*J1379*K1379</f>
        <v>0</v>
      </c>
      <c r="N1379" s="3"/>
      <c r="O1379" s="2">
        <f>L1379/J1379*(1-K1379)</f>
        <v>155000</v>
      </c>
    </row>
    <row r="1380" ht="14.25">
      <c r="A1380" s="3" t="s">
        <v>656</v>
      </c>
      <c r="B1380" s="3" t="s">
        <v>1033</v>
      </c>
      <c r="C1380" s="3" t="s">
        <v>1036</v>
      </c>
      <c r="D1380" s="3" t="s">
        <v>17</v>
      </c>
      <c r="E1380" s="3" t="s">
        <v>43</v>
      </c>
      <c r="F1380" s="3" t="s">
        <v>19</v>
      </c>
      <c r="G1380" s="4">
        <v>0</v>
      </c>
      <c r="H1380" s="4">
        <v>1410000</v>
      </c>
      <c r="I1380" s="3" t="s">
        <v>423</v>
      </c>
      <c r="J1380" s="4">
        <v>40</v>
      </c>
      <c r="K1380" s="3" t="s">
        <v>21</v>
      </c>
      <c r="L1380" s="4">
        <v>1410000</v>
      </c>
      <c r="M1380" s="1">
        <f>O1380*J1380*K1380</f>
        <v>0</v>
      </c>
      <c r="N1380" s="3"/>
      <c r="O1380" s="2">
        <f>L1380/J1380*(1-K1380)</f>
        <v>35250</v>
      </c>
    </row>
    <row r="1381" ht="14.25">
      <c r="A1381" s="3" t="s">
        <v>656</v>
      </c>
      <c r="B1381" s="3" t="s">
        <v>656</v>
      </c>
      <c r="C1381" s="3" t="s">
        <v>1037</v>
      </c>
      <c r="D1381" s="3" t="s">
        <v>17</v>
      </c>
      <c r="E1381" s="3" t="s">
        <v>828</v>
      </c>
      <c r="F1381" s="3" t="s">
        <v>19</v>
      </c>
      <c r="G1381" s="4">
        <v>0</v>
      </c>
      <c r="H1381" s="4">
        <v>3150000</v>
      </c>
      <c r="I1381" s="3" t="s">
        <v>831</v>
      </c>
      <c r="J1381" s="4">
        <v>9</v>
      </c>
      <c r="K1381" s="3" t="s">
        <v>21</v>
      </c>
      <c r="L1381" s="4">
        <v>3150000</v>
      </c>
      <c r="M1381" s="1">
        <f>O1381*J1381*K1381</f>
        <v>0</v>
      </c>
      <c r="N1381" s="3"/>
      <c r="O1381" s="2">
        <f>L1381/J1381*(1-K1381)</f>
        <v>350000</v>
      </c>
    </row>
    <row r="1382" ht="14.25">
      <c r="A1382" s="3" t="s">
        <v>656</v>
      </c>
      <c r="B1382" s="3" t="s">
        <v>656</v>
      </c>
      <c r="C1382" s="3" t="s">
        <v>1038</v>
      </c>
      <c r="D1382" s="3" t="s">
        <v>17</v>
      </c>
      <c r="E1382" s="3" t="s">
        <v>501</v>
      </c>
      <c r="F1382" s="3" t="s">
        <v>19</v>
      </c>
      <c r="G1382" s="4">
        <v>0</v>
      </c>
      <c r="H1382" s="4">
        <v>19512000</v>
      </c>
      <c r="I1382" s="3" t="s">
        <v>44</v>
      </c>
      <c r="J1382" s="4">
        <v>48</v>
      </c>
      <c r="K1382" s="3" t="s">
        <v>21</v>
      </c>
      <c r="L1382" s="4">
        <v>1440000</v>
      </c>
      <c r="M1382" s="1">
        <f>O1382*J1382*K1382</f>
        <v>0</v>
      </c>
      <c r="N1382" s="3"/>
      <c r="O1382" s="2">
        <f>L1382/J1382*(1-K1382)</f>
        <v>30000</v>
      </c>
    </row>
    <row r="1383" ht="14.25">
      <c r="A1383" s="3" t="s">
        <v>656</v>
      </c>
      <c r="B1383" s="3" t="s">
        <v>656</v>
      </c>
      <c r="C1383" s="3" t="s">
        <v>1038</v>
      </c>
      <c r="D1383" s="3" t="s">
        <v>17</v>
      </c>
      <c r="E1383" s="3" t="s">
        <v>501</v>
      </c>
      <c r="F1383" s="3" t="s">
        <v>19</v>
      </c>
      <c r="G1383" s="4">
        <v>0</v>
      </c>
      <c r="H1383" s="4">
        <v>19512000</v>
      </c>
      <c r="I1383" s="3" t="s">
        <v>381</v>
      </c>
      <c r="J1383" s="4">
        <v>20</v>
      </c>
      <c r="K1383" s="3" t="s">
        <v>21</v>
      </c>
      <c r="L1383" s="4">
        <v>630000</v>
      </c>
      <c r="M1383" s="1">
        <f>O1383*J1383*K1383</f>
        <v>0</v>
      </c>
      <c r="N1383" s="3"/>
      <c r="O1383" s="2">
        <f>L1383/J1383*(1-K1383)</f>
        <v>31500</v>
      </c>
    </row>
    <row r="1384" ht="14.25">
      <c r="A1384" s="3" t="s">
        <v>656</v>
      </c>
      <c r="B1384" s="3" t="s">
        <v>656</v>
      </c>
      <c r="C1384" s="3" t="s">
        <v>1038</v>
      </c>
      <c r="D1384" s="3" t="s">
        <v>17</v>
      </c>
      <c r="E1384" s="3" t="s">
        <v>501</v>
      </c>
      <c r="F1384" s="3" t="s">
        <v>19</v>
      </c>
      <c r="G1384" s="4">
        <v>0</v>
      </c>
      <c r="H1384" s="4">
        <v>19512000</v>
      </c>
      <c r="I1384" s="3" t="s">
        <v>415</v>
      </c>
      <c r="J1384" s="4">
        <v>36</v>
      </c>
      <c r="K1384" s="3" t="s">
        <v>21</v>
      </c>
      <c r="L1384" s="4">
        <v>1296000</v>
      </c>
      <c r="M1384" s="1">
        <f>O1384*J1384*K1384</f>
        <v>0</v>
      </c>
      <c r="N1384" s="3"/>
      <c r="O1384" s="2">
        <f>L1384/J1384*(1-K1384)</f>
        <v>36000</v>
      </c>
    </row>
    <row r="1385" ht="14.25">
      <c r="A1385" s="3" t="s">
        <v>656</v>
      </c>
      <c r="B1385" s="3" t="s">
        <v>656</v>
      </c>
      <c r="C1385" s="3" t="s">
        <v>1038</v>
      </c>
      <c r="D1385" s="3" t="s">
        <v>17</v>
      </c>
      <c r="E1385" s="3" t="s">
        <v>501</v>
      </c>
      <c r="F1385" s="3" t="s">
        <v>19</v>
      </c>
      <c r="G1385" s="4">
        <v>0</v>
      </c>
      <c r="H1385" s="4">
        <v>19512000</v>
      </c>
      <c r="I1385" s="3" t="s">
        <v>474</v>
      </c>
      <c r="J1385" s="4">
        <v>6</v>
      </c>
      <c r="K1385" s="3" t="s">
        <v>21</v>
      </c>
      <c r="L1385" s="4">
        <v>1980000</v>
      </c>
      <c r="M1385" s="1">
        <f>O1385*J1385*K1385</f>
        <v>0</v>
      </c>
      <c r="N1385" s="3"/>
      <c r="O1385" s="2">
        <f>L1385/J1385*(1-K1385)</f>
        <v>330000</v>
      </c>
    </row>
    <row r="1386" ht="14.25">
      <c r="A1386" s="3" t="s">
        <v>656</v>
      </c>
      <c r="B1386" s="3" t="s">
        <v>656</v>
      </c>
      <c r="C1386" s="3" t="s">
        <v>1038</v>
      </c>
      <c r="D1386" s="3" t="s">
        <v>17</v>
      </c>
      <c r="E1386" s="3" t="s">
        <v>501</v>
      </c>
      <c r="F1386" s="3" t="s">
        <v>19</v>
      </c>
      <c r="G1386" s="4">
        <v>0</v>
      </c>
      <c r="H1386" s="4">
        <v>19512000</v>
      </c>
      <c r="I1386" s="3" t="s">
        <v>504</v>
      </c>
      <c r="J1386" s="4">
        <v>12</v>
      </c>
      <c r="K1386" s="3" t="s">
        <v>21</v>
      </c>
      <c r="L1386" s="4">
        <v>1596000</v>
      </c>
      <c r="M1386" s="1">
        <f>O1386*J1386*K1386</f>
        <v>0</v>
      </c>
      <c r="N1386" s="3"/>
      <c r="O1386" s="2">
        <f>L1386/J1386*(1-K1386)</f>
        <v>133000</v>
      </c>
    </row>
    <row r="1387" ht="14.25">
      <c r="A1387" s="3" t="s">
        <v>656</v>
      </c>
      <c r="B1387" s="3" t="s">
        <v>656</v>
      </c>
      <c r="C1387" s="3" t="s">
        <v>1038</v>
      </c>
      <c r="D1387" s="3" t="s">
        <v>17</v>
      </c>
      <c r="E1387" s="3" t="s">
        <v>501</v>
      </c>
      <c r="F1387" s="3" t="s">
        <v>19</v>
      </c>
      <c r="G1387" s="4">
        <v>0</v>
      </c>
      <c r="H1387" s="4">
        <v>19512000</v>
      </c>
      <c r="I1387" s="3" t="s">
        <v>395</v>
      </c>
      <c r="J1387" s="4">
        <v>18</v>
      </c>
      <c r="K1387" s="3" t="s">
        <v>21</v>
      </c>
      <c r="L1387" s="4">
        <v>2250000</v>
      </c>
      <c r="M1387" s="1">
        <f>O1387*J1387*K1387</f>
        <v>0</v>
      </c>
      <c r="N1387" s="3"/>
      <c r="O1387" s="2">
        <f>L1387/J1387*(1-K1387)</f>
        <v>125000</v>
      </c>
    </row>
    <row r="1388" ht="14.25">
      <c r="A1388" s="3" t="s">
        <v>656</v>
      </c>
      <c r="B1388" s="3" t="s">
        <v>656</v>
      </c>
      <c r="C1388" s="3" t="s">
        <v>1038</v>
      </c>
      <c r="D1388" s="3" t="s">
        <v>17</v>
      </c>
      <c r="E1388" s="3" t="s">
        <v>501</v>
      </c>
      <c r="F1388" s="3" t="s">
        <v>19</v>
      </c>
      <c r="G1388" s="4">
        <v>0</v>
      </c>
      <c r="H1388" s="4">
        <v>19512000</v>
      </c>
      <c r="I1388" s="3" t="s">
        <v>400</v>
      </c>
      <c r="J1388" s="4">
        <v>2</v>
      </c>
      <c r="K1388" s="3" t="s">
        <v>21</v>
      </c>
      <c r="L1388" s="4">
        <v>660000</v>
      </c>
      <c r="M1388" s="1">
        <f>O1388*J1388*K1388</f>
        <v>0</v>
      </c>
      <c r="N1388" s="3"/>
      <c r="O1388" s="2">
        <f>L1388/J1388*(1-K1388)</f>
        <v>330000</v>
      </c>
    </row>
    <row r="1389" ht="14.25">
      <c r="A1389" s="3" t="s">
        <v>656</v>
      </c>
      <c r="B1389" s="3" t="s">
        <v>656</v>
      </c>
      <c r="C1389" s="3" t="s">
        <v>1038</v>
      </c>
      <c r="D1389" s="3" t="s">
        <v>17</v>
      </c>
      <c r="E1389" s="3" t="s">
        <v>501</v>
      </c>
      <c r="F1389" s="3" t="s">
        <v>19</v>
      </c>
      <c r="G1389" s="4">
        <v>0</v>
      </c>
      <c r="H1389" s="4">
        <v>19512000</v>
      </c>
      <c r="I1389" s="3" t="s">
        <v>399</v>
      </c>
      <c r="J1389" s="4">
        <v>2</v>
      </c>
      <c r="K1389" s="3" t="s">
        <v>21</v>
      </c>
      <c r="L1389" s="4">
        <v>620000</v>
      </c>
      <c r="M1389" s="1">
        <f>O1389*J1389*K1389</f>
        <v>0</v>
      </c>
      <c r="N1389" s="3"/>
      <c r="O1389" s="2">
        <f>L1389/J1389*(1-K1389)</f>
        <v>310000</v>
      </c>
    </row>
    <row r="1390" ht="14.25">
      <c r="A1390" s="3" t="s">
        <v>656</v>
      </c>
      <c r="B1390" s="3" t="s">
        <v>656</v>
      </c>
      <c r="C1390" s="3" t="s">
        <v>1038</v>
      </c>
      <c r="D1390" s="3" t="s">
        <v>17</v>
      </c>
      <c r="E1390" s="3" t="s">
        <v>501</v>
      </c>
      <c r="F1390" s="3" t="s">
        <v>19</v>
      </c>
      <c r="G1390" s="4">
        <v>0</v>
      </c>
      <c r="H1390" s="4">
        <v>19512000</v>
      </c>
      <c r="I1390" s="3" t="s">
        <v>475</v>
      </c>
      <c r="J1390" s="4">
        <v>20</v>
      </c>
      <c r="K1390" s="3" t="s">
        <v>21</v>
      </c>
      <c r="L1390" s="4">
        <v>720000</v>
      </c>
      <c r="M1390" s="1">
        <f>O1390*J1390*K1390</f>
        <v>0</v>
      </c>
      <c r="N1390" s="3"/>
      <c r="O1390" s="2">
        <f>L1390/J1390*(1-K1390)</f>
        <v>36000</v>
      </c>
    </row>
    <row r="1391" ht="14.25">
      <c r="A1391" s="3" t="s">
        <v>656</v>
      </c>
      <c r="B1391" s="3" t="s">
        <v>656</v>
      </c>
      <c r="C1391" s="3" t="s">
        <v>1038</v>
      </c>
      <c r="D1391" s="3" t="s">
        <v>17</v>
      </c>
      <c r="E1391" s="3" t="s">
        <v>501</v>
      </c>
      <c r="F1391" s="3" t="s">
        <v>19</v>
      </c>
      <c r="G1391" s="4">
        <v>0</v>
      </c>
      <c r="H1391" s="4">
        <v>19512000</v>
      </c>
      <c r="I1391" s="3" t="s">
        <v>649</v>
      </c>
      <c r="J1391" s="4">
        <v>4</v>
      </c>
      <c r="K1391" s="3" t="s">
        <v>21</v>
      </c>
      <c r="L1391" s="4">
        <v>700000</v>
      </c>
      <c r="M1391" s="1">
        <f>O1391*J1391*K1391</f>
        <v>0</v>
      </c>
      <c r="N1391" s="3"/>
      <c r="O1391" s="2">
        <f>L1391/J1391*(1-K1391)</f>
        <v>175000</v>
      </c>
    </row>
    <row r="1392" ht="14.25">
      <c r="A1392" s="3" t="s">
        <v>656</v>
      </c>
      <c r="B1392" s="3" t="s">
        <v>656</v>
      </c>
      <c r="C1392" s="3" t="s">
        <v>1038</v>
      </c>
      <c r="D1392" s="3" t="s">
        <v>17</v>
      </c>
      <c r="E1392" s="3" t="s">
        <v>501</v>
      </c>
      <c r="F1392" s="3" t="s">
        <v>19</v>
      </c>
      <c r="G1392" s="4">
        <v>0</v>
      </c>
      <c r="H1392" s="4">
        <v>19512000</v>
      </c>
      <c r="I1392" s="3" t="s">
        <v>862</v>
      </c>
      <c r="J1392" s="4">
        <v>1</v>
      </c>
      <c r="K1392" s="3" t="s">
        <v>21</v>
      </c>
      <c r="L1392" s="4">
        <v>6900000</v>
      </c>
      <c r="M1392" s="1">
        <f>O1392*J1392*K1392</f>
        <v>0</v>
      </c>
      <c r="N1392" s="3"/>
      <c r="O1392" s="2">
        <f>L1392/J1392*(1-K1392)</f>
        <v>6900000</v>
      </c>
    </row>
    <row r="1393" ht="14.25">
      <c r="A1393" s="3" t="s">
        <v>656</v>
      </c>
      <c r="B1393" s="3" t="s">
        <v>656</v>
      </c>
      <c r="C1393" s="3" t="s">
        <v>1038</v>
      </c>
      <c r="D1393" s="3" t="s">
        <v>17</v>
      </c>
      <c r="E1393" s="3" t="s">
        <v>501</v>
      </c>
      <c r="F1393" s="3" t="s">
        <v>19</v>
      </c>
      <c r="G1393" s="4">
        <v>0</v>
      </c>
      <c r="H1393" s="4">
        <v>19512000</v>
      </c>
      <c r="I1393" s="3" t="s">
        <v>122</v>
      </c>
      <c r="J1393" s="4">
        <v>4</v>
      </c>
      <c r="K1393" s="3" t="s">
        <v>21</v>
      </c>
      <c r="L1393" s="4">
        <v>720000</v>
      </c>
      <c r="M1393" s="1">
        <f>O1393*J1393*K1393</f>
        <v>0</v>
      </c>
      <c r="N1393" s="3"/>
      <c r="O1393" s="2">
        <f>L1393/J1393*(1-K1393)</f>
        <v>180000</v>
      </c>
    </row>
    <row r="1394" ht="14.25">
      <c r="A1394" s="3" t="s">
        <v>656</v>
      </c>
      <c r="B1394" s="3" t="s">
        <v>656</v>
      </c>
      <c r="C1394" s="3" t="s">
        <v>1039</v>
      </c>
      <c r="D1394" s="3" t="s">
        <v>17</v>
      </c>
      <c r="E1394" s="3" t="s">
        <v>1040</v>
      </c>
      <c r="F1394" s="3" t="s">
        <v>19</v>
      </c>
      <c r="G1394" s="4">
        <v>0</v>
      </c>
      <c r="H1394" s="4">
        <v>100100</v>
      </c>
      <c r="I1394" s="3" t="s">
        <v>1041</v>
      </c>
      <c r="J1394" s="4">
        <v>1</v>
      </c>
      <c r="K1394" s="3" t="s">
        <v>21</v>
      </c>
      <c r="L1394" s="4">
        <v>100100</v>
      </c>
      <c r="M1394" s="1">
        <f>O1394*J1394*K1394</f>
        <v>0</v>
      </c>
      <c r="N1394" s="3"/>
      <c r="O1394" s="2">
        <f>L1394/J1394*(1-K1394)</f>
        <v>100100</v>
      </c>
    </row>
    <row r="1395" ht="14.25">
      <c r="A1395" s="3" t="s">
        <v>656</v>
      </c>
      <c r="B1395" s="3" t="s">
        <v>656</v>
      </c>
      <c r="C1395" s="3" t="s">
        <v>1042</v>
      </c>
      <c r="D1395" s="3" t="s">
        <v>17</v>
      </c>
      <c r="E1395" s="3" t="s">
        <v>317</v>
      </c>
      <c r="F1395" s="3" t="s">
        <v>19</v>
      </c>
      <c r="G1395" s="4">
        <v>0</v>
      </c>
      <c r="H1395" s="4">
        <v>0</v>
      </c>
      <c r="I1395" s="3" t="s">
        <v>319</v>
      </c>
      <c r="J1395" s="4">
        <v>10</v>
      </c>
      <c r="K1395" s="3" t="s">
        <v>21</v>
      </c>
      <c r="L1395" s="4">
        <v>0</v>
      </c>
      <c r="M1395" s="1">
        <f>O1395*J1395*K1395</f>
        <v>0</v>
      </c>
      <c r="N1395" s="3"/>
      <c r="O1395" s="2">
        <f>L1395/J1395*(1-K1395)</f>
        <v>0</v>
      </c>
    </row>
    <row r="1396" ht="14.25">
      <c r="A1396" s="3" t="s">
        <v>656</v>
      </c>
      <c r="B1396" s="3" t="s">
        <v>656</v>
      </c>
      <c r="C1396" s="3" t="s">
        <v>1042</v>
      </c>
      <c r="D1396" s="3" t="s">
        <v>17</v>
      </c>
      <c r="E1396" s="3" t="s">
        <v>317</v>
      </c>
      <c r="F1396" s="3" t="s">
        <v>19</v>
      </c>
      <c r="G1396" s="4">
        <v>0</v>
      </c>
      <c r="H1396" s="4">
        <v>0</v>
      </c>
      <c r="I1396" s="3" t="s">
        <v>194</v>
      </c>
      <c r="J1396" s="4">
        <v>10</v>
      </c>
      <c r="K1396" s="3" t="s">
        <v>21</v>
      </c>
      <c r="L1396" s="4">
        <v>0</v>
      </c>
      <c r="M1396" s="1">
        <f>O1396*J1396*K1396</f>
        <v>0</v>
      </c>
      <c r="N1396" s="3"/>
      <c r="O1396" s="2">
        <f>L1396/J1396*(1-K1396)</f>
        <v>0</v>
      </c>
    </row>
    <row r="1397" ht="14.25">
      <c r="A1397" s="3" t="s">
        <v>656</v>
      </c>
      <c r="B1397" s="3" t="s">
        <v>656</v>
      </c>
      <c r="C1397" s="3" t="s">
        <v>1042</v>
      </c>
      <c r="D1397" s="3" t="s">
        <v>17</v>
      </c>
      <c r="E1397" s="3" t="s">
        <v>317</v>
      </c>
      <c r="F1397" s="3" t="s">
        <v>19</v>
      </c>
      <c r="G1397" s="4">
        <v>0</v>
      </c>
      <c r="H1397" s="4">
        <v>0</v>
      </c>
      <c r="I1397" s="3" t="s">
        <v>318</v>
      </c>
      <c r="J1397" s="4">
        <v>10</v>
      </c>
      <c r="K1397" s="3" t="s">
        <v>21</v>
      </c>
      <c r="L1397" s="4">
        <v>0</v>
      </c>
      <c r="M1397" s="1">
        <f>O1397*J1397*K1397</f>
        <v>0</v>
      </c>
      <c r="N1397" s="3"/>
      <c r="O1397" s="2">
        <f>L1397/J1397*(1-K1397)</f>
        <v>0</v>
      </c>
    </row>
    <row r="1398" ht="14.25">
      <c r="A1398" s="3" t="s">
        <v>656</v>
      </c>
      <c r="B1398" s="3" t="s">
        <v>656</v>
      </c>
      <c r="C1398" s="3" t="s">
        <v>1042</v>
      </c>
      <c r="D1398" s="3" t="s">
        <v>17</v>
      </c>
      <c r="E1398" s="3" t="s">
        <v>317</v>
      </c>
      <c r="F1398" s="3" t="s">
        <v>19</v>
      </c>
      <c r="G1398" s="4">
        <v>0</v>
      </c>
      <c r="H1398" s="4">
        <v>0</v>
      </c>
      <c r="I1398" s="3" t="s">
        <v>589</v>
      </c>
      <c r="J1398" s="4">
        <v>5</v>
      </c>
      <c r="K1398" s="3" t="s">
        <v>21</v>
      </c>
      <c r="L1398" s="4">
        <v>0</v>
      </c>
      <c r="M1398" s="1">
        <f>O1398*J1398*K1398</f>
        <v>0</v>
      </c>
      <c r="N1398" s="3"/>
      <c r="O1398" s="2">
        <f>L1398/J1398*(1-K1398)</f>
        <v>0</v>
      </c>
    </row>
    <row r="1399" ht="14.25">
      <c r="A1399" s="3" t="s">
        <v>656</v>
      </c>
      <c r="B1399" s="3" t="s">
        <v>656</v>
      </c>
      <c r="C1399" s="3" t="s">
        <v>1042</v>
      </c>
      <c r="D1399" s="3" t="s">
        <v>17</v>
      </c>
      <c r="E1399" s="3" t="s">
        <v>317</v>
      </c>
      <c r="F1399" s="3" t="s">
        <v>19</v>
      </c>
      <c r="G1399" s="4">
        <v>0</v>
      </c>
      <c r="H1399" s="4">
        <v>0</v>
      </c>
      <c r="I1399" s="3" t="s">
        <v>321</v>
      </c>
      <c r="J1399" s="4">
        <v>10</v>
      </c>
      <c r="K1399" s="3" t="s">
        <v>21</v>
      </c>
      <c r="L1399" s="4">
        <v>0</v>
      </c>
      <c r="M1399" s="1">
        <f>O1399*J1399*K1399</f>
        <v>0</v>
      </c>
      <c r="N1399" s="3"/>
      <c r="O1399" s="2">
        <f>L1399/J1399*(1-K1399)</f>
        <v>0</v>
      </c>
    </row>
    <row r="1400" ht="14.25">
      <c r="A1400" s="3" t="s">
        <v>656</v>
      </c>
      <c r="B1400" s="3" t="s">
        <v>656</v>
      </c>
      <c r="C1400" s="3" t="s">
        <v>1042</v>
      </c>
      <c r="D1400" s="3" t="s">
        <v>17</v>
      </c>
      <c r="E1400" s="3" t="s">
        <v>317</v>
      </c>
      <c r="F1400" s="3" t="s">
        <v>19</v>
      </c>
      <c r="G1400" s="4">
        <v>0</v>
      </c>
      <c r="H1400" s="4">
        <v>0</v>
      </c>
      <c r="I1400" s="3" t="s">
        <v>1043</v>
      </c>
      <c r="J1400" s="4">
        <v>5</v>
      </c>
      <c r="K1400" s="3" t="s">
        <v>21</v>
      </c>
      <c r="L1400" s="4">
        <v>0</v>
      </c>
      <c r="M1400" s="1">
        <f>O1400*J1400*K1400</f>
        <v>0</v>
      </c>
      <c r="N1400" s="3"/>
      <c r="O1400" s="2">
        <f>L1400/J1400*(1-K1400)</f>
        <v>0</v>
      </c>
    </row>
    <row r="1401" ht="14.25">
      <c r="A1401" s="3" t="s">
        <v>689</v>
      </c>
      <c r="B1401" s="3" t="s">
        <v>689</v>
      </c>
      <c r="C1401" s="3" t="s">
        <v>1044</v>
      </c>
      <c r="D1401" s="3" t="s">
        <v>17</v>
      </c>
      <c r="E1401" s="3" t="s">
        <v>596</v>
      </c>
      <c r="F1401" s="3" t="s">
        <v>19</v>
      </c>
      <c r="G1401" s="4">
        <v>0</v>
      </c>
      <c r="H1401" s="4">
        <v>1656000</v>
      </c>
      <c r="I1401" s="3" t="s">
        <v>424</v>
      </c>
      <c r="J1401" s="4">
        <v>24</v>
      </c>
      <c r="K1401" s="3" t="s">
        <v>21</v>
      </c>
      <c r="L1401" s="4">
        <v>768000</v>
      </c>
      <c r="M1401" s="1">
        <f>O1401*J1401*K1401</f>
        <v>0</v>
      </c>
      <c r="N1401" s="3"/>
      <c r="O1401" s="2">
        <f>L1401/J1401*(1-K1401)</f>
        <v>32000</v>
      </c>
    </row>
    <row r="1402" ht="14.25">
      <c r="A1402" s="3" t="s">
        <v>689</v>
      </c>
      <c r="B1402" s="3" t="s">
        <v>689</v>
      </c>
      <c r="C1402" s="3" t="s">
        <v>1044</v>
      </c>
      <c r="D1402" s="3" t="s">
        <v>17</v>
      </c>
      <c r="E1402" s="3" t="s">
        <v>596</v>
      </c>
      <c r="F1402" s="3" t="s">
        <v>19</v>
      </c>
      <c r="G1402" s="4">
        <v>0</v>
      </c>
      <c r="H1402" s="4">
        <v>1656000</v>
      </c>
      <c r="I1402" s="3" t="s">
        <v>45</v>
      </c>
      <c r="J1402" s="4">
        <v>24</v>
      </c>
      <c r="K1402" s="3" t="s">
        <v>21</v>
      </c>
      <c r="L1402" s="4">
        <v>888000</v>
      </c>
      <c r="M1402" s="1">
        <f>O1402*J1402*K1402</f>
        <v>0</v>
      </c>
      <c r="N1402" s="3"/>
      <c r="O1402" s="2">
        <f>L1402/J1402*(1-K1402)</f>
        <v>37000</v>
      </c>
    </row>
    <row r="1403" ht="14.25">
      <c r="A1403" s="3" t="s">
        <v>689</v>
      </c>
      <c r="B1403" s="3" t="s">
        <v>689</v>
      </c>
      <c r="C1403" s="3" t="s">
        <v>1045</v>
      </c>
      <c r="D1403" s="3" t="s">
        <v>17</v>
      </c>
      <c r="E1403" s="3" t="s">
        <v>88</v>
      </c>
      <c r="F1403" s="3" t="s">
        <v>19</v>
      </c>
      <c r="G1403" s="4">
        <v>0</v>
      </c>
      <c r="H1403" s="4">
        <v>8200000</v>
      </c>
      <c r="I1403" s="3" t="s">
        <v>82</v>
      </c>
      <c r="J1403" s="4">
        <v>2</v>
      </c>
      <c r="K1403" s="3" t="s">
        <v>21</v>
      </c>
      <c r="L1403" s="4">
        <v>7600000</v>
      </c>
      <c r="M1403" s="1">
        <f>O1403*J1403*K1403</f>
        <v>0</v>
      </c>
      <c r="N1403" s="3"/>
      <c r="O1403" s="2">
        <f>L1403/J1403*(1-K1403)</f>
        <v>3800000</v>
      </c>
    </row>
    <row r="1404" ht="14.25">
      <c r="A1404" s="3" t="s">
        <v>689</v>
      </c>
      <c r="B1404" s="3" t="s">
        <v>689</v>
      </c>
      <c r="C1404" s="3" t="s">
        <v>1045</v>
      </c>
      <c r="D1404" s="3" t="s">
        <v>17</v>
      </c>
      <c r="E1404" s="3" t="s">
        <v>88</v>
      </c>
      <c r="F1404" s="3" t="s">
        <v>19</v>
      </c>
      <c r="G1404" s="4">
        <v>0</v>
      </c>
      <c r="H1404" s="4">
        <v>8200000</v>
      </c>
      <c r="I1404" s="3" t="s">
        <v>1046</v>
      </c>
      <c r="J1404" s="4">
        <v>5</v>
      </c>
      <c r="K1404" s="3" t="s">
        <v>21</v>
      </c>
      <c r="L1404" s="4">
        <v>600000</v>
      </c>
      <c r="M1404" s="1">
        <f>O1404*J1404*K1404</f>
        <v>0</v>
      </c>
      <c r="N1404" s="3"/>
      <c r="O1404" s="2">
        <f>L1404/J1404*(1-K1404)</f>
        <v>120000</v>
      </c>
    </row>
    <row r="1405" ht="14.25">
      <c r="A1405" s="3" t="s">
        <v>689</v>
      </c>
      <c r="B1405" s="3" t="s">
        <v>1047</v>
      </c>
      <c r="C1405" s="3" t="s">
        <v>1048</v>
      </c>
      <c r="D1405" s="3" t="s">
        <v>17</v>
      </c>
      <c r="E1405" s="3" t="s">
        <v>1049</v>
      </c>
      <c r="F1405" s="3" t="s">
        <v>19</v>
      </c>
      <c r="G1405" s="4">
        <v>0</v>
      </c>
      <c r="H1405" s="4">
        <v>3600000</v>
      </c>
      <c r="I1405" s="3" t="s">
        <v>121</v>
      </c>
      <c r="J1405" s="4">
        <v>1</v>
      </c>
      <c r="K1405" s="3" t="s">
        <v>21</v>
      </c>
      <c r="L1405" s="4">
        <v>3600000</v>
      </c>
      <c r="M1405" s="1">
        <f>O1405*J1405*K1405</f>
        <v>0</v>
      </c>
      <c r="N1405" s="3"/>
      <c r="O1405" s="2">
        <f>L1405/J1405*(1-K1405)</f>
        <v>3600000</v>
      </c>
    </row>
    <row r="1406" ht="14.25">
      <c r="A1406" s="3" t="s">
        <v>689</v>
      </c>
      <c r="B1406" s="3" t="s">
        <v>1047</v>
      </c>
      <c r="C1406" s="3" t="s">
        <v>1050</v>
      </c>
      <c r="D1406" s="3" t="s">
        <v>17</v>
      </c>
      <c r="E1406" s="3" t="s">
        <v>1049</v>
      </c>
      <c r="F1406" s="3" t="s">
        <v>19</v>
      </c>
      <c r="G1406" s="4">
        <v>0</v>
      </c>
      <c r="H1406" s="4">
        <v>12254000</v>
      </c>
      <c r="I1406" s="3" t="s">
        <v>1051</v>
      </c>
      <c r="J1406" s="4">
        <v>24</v>
      </c>
      <c r="K1406" s="3" t="s">
        <v>21</v>
      </c>
      <c r="L1406" s="4">
        <v>744000</v>
      </c>
      <c r="M1406" s="1">
        <f>O1406*J1406*K1406</f>
        <v>0</v>
      </c>
      <c r="N1406" s="3"/>
      <c r="O1406" s="2">
        <f>L1406/J1406*(1-K1406)</f>
        <v>31000</v>
      </c>
    </row>
    <row r="1407" ht="14.25">
      <c r="A1407" s="3" t="s">
        <v>689</v>
      </c>
      <c r="B1407" s="3" t="s">
        <v>1047</v>
      </c>
      <c r="C1407" s="3" t="s">
        <v>1050</v>
      </c>
      <c r="D1407" s="3" t="s">
        <v>17</v>
      </c>
      <c r="E1407" s="3" t="s">
        <v>1049</v>
      </c>
      <c r="F1407" s="3" t="s">
        <v>19</v>
      </c>
      <c r="G1407" s="4">
        <v>0</v>
      </c>
      <c r="H1407" s="4">
        <v>12254000</v>
      </c>
      <c r="I1407" s="3" t="s">
        <v>1052</v>
      </c>
      <c r="J1407" s="4">
        <v>25</v>
      </c>
      <c r="K1407" s="3" t="s">
        <v>21</v>
      </c>
      <c r="L1407" s="4">
        <v>3750000</v>
      </c>
      <c r="M1407" s="1">
        <f>O1407*J1407*K1407</f>
        <v>0</v>
      </c>
      <c r="N1407" s="3"/>
      <c r="O1407" s="2">
        <f>L1407/J1407*(1-K1407)</f>
        <v>150000</v>
      </c>
    </row>
    <row r="1408" ht="14.25">
      <c r="A1408" s="3" t="s">
        <v>689</v>
      </c>
      <c r="B1408" s="3" t="s">
        <v>1047</v>
      </c>
      <c r="C1408" s="3" t="s">
        <v>1050</v>
      </c>
      <c r="D1408" s="3" t="s">
        <v>17</v>
      </c>
      <c r="E1408" s="3" t="s">
        <v>1049</v>
      </c>
      <c r="F1408" s="3" t="s">
        <v>19</v>
      </c>
      <c r="G1408" s="4">
        <v>0</v>
      </c>
      <c r="H1408" s="4">
        <v>12254000</v>
      </c>
      <c r="I1408" s="3" t="s">
        <v>623</v>
      </c>
      <c r="J1408" s="4">
        <v>36</v>
      </c>
      <c r="K1408" s="3" t="s">
        <v>21</v>
      </c>
      <c r="L1408" s="4">
        <v>1116000</v>
      </c>
      <c r="M1408" s="1">
        <f>O1408*J1408*K1408</f>
        <v>0</v>
      </c>
      <c r="N1408" s="3"/>
      <c r="O1408" s="2">
        <f>L1408/J1408*(1-K1408)</f>
        <v>31000</v>
      </c>
    </row>
    <row r="1409" ht="14.25">
      <c r="A1409" s="3" t="s">
        <v>689</v>
      </c>
      <c r="B1409" s="3" t="s">
        <v>1047</v>
      </c>
      <c r="C1409" s="3" t="s">
        <v>1050</v>
      </c>
      <c r="D1409" s="3" t="s">
        <v>17</v>
      </c>
      <c r="E1409" s="3" t="s">
        <v>1049</v>
      </c>
      <c r="F1409" s="3" t="s">
        <v>19</v>
      </c>
      <c r="G1409" s="4">
        <v>0</v>
      </c>
      <c r="H1409" s="4">
        <v>12254000</v>
      </c>
      <c r="I1409" s="3" t="s">
        <v>1053</v>
      </c>
      <c r="J1409" s="4">
        <v>19</v>
      </c>
      <c r="K1409" s="3" t="s">
        <v>21</v>
      </c>
      <c r="L1409" s="4">
        <v>2280000</v>
      </c>
      <c r="M1409" s="1">
        <f>O1409*J1409*K1409</f>
        <v>0</v>
      </c>
      <c r="N1409" s="3"/>
      <c r="O1409" s="2">
        <f>L1409/J1409*(1-K1409)</f>
        <v>120000</v>
      </c>
    </row>
    <row r="1410" ht="14.25">
      <c r="A1410" s="3" t="s">
        <v>689</v>
      </c>
      <c r="B1410" s="3" t="s">
        <v>1047</v>
      </c>
      <c r="C1410" s="3" t="s">
        <v>1050</v>
      </c>
      <c r="D1410" s="3" t="s">
        <v>17</v>
      </c>
      <c r="E1410" s="3" t="s">
        <v>1049</v>
      </c>
      <c r="F1410" s="3" t="s">
        <v>19</v>
      </c>
      <c r="G1410" s="4">
        <v>0</v>
      </c>
      <c r="H1410" s="4">
        <v>12254000</v>
      </c>
      <c r="I1410" s="3" t="s">
        <v>622</v>
      </c>
      <c r="J1410" s="4">
        <v>44</v>
      </c>
      <c r="K1410" s="3" t="s">
        <v>21</v>
      </c>
      <c r="L1410" s="4">
        <v>1364000</v>
      </c>
      <c r="M1410" s="1">
        <f>O1410*J1410*K1410</f>
        <v>0</v>
      </c>
      <c r="N1410" s="3"/>
      <c r="O1410" s="2">
        <f>L1410/J1410*(1-K1410)</f>
        <v>31000</v>
      </c>
    </row>
    <row r="1411" ht="14.25">
      <c r="A1411" s="3" t="s">
        <v>689</v>
      </c>
      <c r="B1411" s="3" t="s">
        <v>1047</v>
      </c>
      <c r="C1411" s="3" t="s">
        <v>1050</v>
      </c>
      <c r="D1411" s="3" t="s">
        <v>17</v>
      </c>
      <c r="E1411" s="3" t="s">
        <v>1049</v>
      </c>
      <c r="F1411" s="3" t="s">
        <v>19</v>
      </c>
      <c r="G1411" s="4">
        <v>0</v>
      </c>
      <c r="H1411" s="4">
        <v>12254000</v>
      </c>
      <c r="I1411" s="3" t="s">
        <v>1054</v>
      </c>
      <c r="J1411" s="4">
        <v>25</v>
      </c>
      <c r="K1411" s="3" t="s">
        <v>21</v>
      </c>
      <c r="L1411" s="4">
        <v>3000000</v>
      </c>
      <c r="M1411" s="1">
        <f>O1411*J1411*K1411</f>
        <v>0</v>
      </c>
      <c r="N1411" s="3"/>
      <c r="O1411" s="2">
        <f>L1411/J1411*(1-K1411)</f>
        <v>120000</v>
      </c>
    </row>
    <row r="1412" ht="14.25">
      <c r="A1412" s="3" t="s">
        <v>689</v>
      </c>
      <c r="B1412" s="3" t="s">
        <v>1047</v>
      </c>
      <c r="C1412" s="3" t="s">
        <v>1055</v>
      </c>
      <c r="D1412" s="3" t="s">
        <v>159</v>
      </c>
      <c r="E1412" s="3" t="s">
        <v>950</v>
      </c>
      <c r="F1412" s="3" t="s">
        <v>19</v>
      </c>
      <c r="G1412" s="4">
        <v>2550000</v>
      </c>
      <c r="H1412" s="4">
        <v>3800000</v>
      </c>
      <c r="I1412" s="3" t="s">
        <v>39</v>
      </c>
      <c r="J1412" s="4">
        <v>1</v>
      </c>
      <c r="K1412" s="3" t="s">
        <v>21</v>
      </c>
      <c r="L1412" s="4">
        <v>3800000</v>
      </c>
      <c r="M1412" s="1">
        <f>O1412*J1412*K1412</f>
        <v>0</v>
      </c>
      <c r="N1412" s="3"/>
      <c r="O1412" s="2">
        <f>L1412/J1412*(1-K1412)</f>
        <v>3800000</v>
      </c>
    </row>
    <row r="1413" ht="14.25">
      <c r="A1413" s="3" t="s">
        <v>689</v>
      </c>
      <c r="B1413" s="3" t="s">
        <v>1047</v>
      </c>
      <c r="C1413" s="3" t="s">
        <v>1056</v>
      </c>
      <c r="D1413" s="3" t="s">
        <v>159</v>
      </c>
      <c r="E1413" s="3" t="s">
        <v>1057</v>
      </c>
      <c r="F1413" s="3" t="s">
        <v>19</v>
      </c>
      <c r="G1413" s="4">
        <v>436000</v>
      </c>
      <c r="H1413" s="4">
        <v>1236000</v>
      </c>
      <c r="I1413" s="3" t="s">
        <v>108</v>
      </c>
      <c r="J1413" s="4">
        <v>24</v>
      </c>
      <c r="K1413" s="3" t="s">
        <v>21</v>
      </c>
      <c r="L1413" s="4">
        <v>624000</v>
      </c>
      <c r="M1413" s="1">
        <f>O1413*J1413*K1413</f>
        <v>0</v>
      </c>
      <c r="N1413" s="3"/>
      <c r="O1413" s="2">
        <f>L1413/J1413*(1-K1413)</f>
        <v>26000</v>
      </c>
    </row>
    <row r="1414" ht="14.25">
      <c r="A1414" s="3" t="s">
        <v>689</v>
      </c>
      <c r="B1414" s="3" t="s">
        <v>1047</v>
      </c>
      <c r="C1414" s="3" t="s">
        <v>1056</v>
      </c>
      <c r="D1414" s="3" t="s">
        <v>159</v>
      </c>
      <c r="E1414" s="3" t="s">
        <v>1057</v>
      </c>
      <c r="F1414" s="3" t="s">
        <v>19</v>
      </c>
      <c r="G1414" s="4">
        <v>436000</v>
      </c>
      <c r="H1414" s="4">
        <v>1236000</v>
      </c>
      <c r="I1414" s="3" t="s">
        <v>32</v>
      </c>
      <c r="J1414" s="4">
        <v>24</v>
      </c>
      <c r="K1414" s="3" t="s">
        <v>21</v>
      </c>
      <c r="L1414" s="4">
        <v>612000</v>
      </c>
      <c r="M1414" s="1">
        <f>O1414*J1414*K1414</f>
        <v>0</v>
      </c>
      <c r="N1414" s="3"/>
      <c r="O1414" s="2">
        <f>L1414/J1414*(1-K1414)</f>
        <v>25500</v>
      </c>
    </row>
    <row r="1415" ht="14.25">
      <c r="A1415" s="3" t="s">
        <v>689</v>
      </c>
      <c r="B1415" s="3" t="s">
        <v>1047</v>
      </c>
      <c r="C1415" s="3" t="s">
        <v>1058</v>
      </c>
      <c r="D1415" s="3" t="s">
        <v>159</v>
      </c>
      <c r="E1415" s="3" t="s">
        <v>1059</v>
      </c>
      <c r="F1415" s="3" t="s">
        <v>19</v>
      </c>
      <c r="G1415" s="4">
        <v>1248000</v>
      </c>
      <c r="H1415" s="4">
        <v>1248000</v>
      </c>
      <c r="I1415" s="3" t="s">
        <v>108</v>
      </c>
      <c r="J1415" s="4">
        <v>48</v>
      </c>
      <c r="K1415" s="3" t="s">
        <v>21</v>
      </c>
      <c r="L1415" s="4">
        <v>1248000</v>
      </c>
      <c r="M1415" s="1">
        <f>O1415*J1415*K1415</f>
        <v>0</v>
      </c>
      <c r="N1415" s="3"/>
      <c r="O1415" s="2">
        <f>L1415/J1415*(1-K1415)</f>
        <v>26000</v>
      </c>
    </row>
    <row r="1416" ht="14.25">
      <c r="A1416" s="3" t="s">
        <v>689</v>
      </c>
      <c r="B1416" s="3" t="s">
        <v>689</v>
      </c>
      <c r="C1416" s="3" t="s">
        <v>1060</v>
      </c>
      <c r="D1416" s="3" t="s">
        <v>17</v>
      </c>
      <c r="E1416" s="3" t="s">
        <v>1061</v>
      </c>
      <c r="F1416" s="3" t="s">
        <v>19</v>
      </c>
      <c r="G1416" s="4">
        <v>0</v>
      </c>
      <c r="H1416" s="4">
        <v>1200000</v>
      </c>
      <c r="I1416" s="3" t="s">
        <v>636</v>
      </c>
      <c r="J1416" s="4">
        <v>10</v>
      </c>
      <c r="K1416" s="3" t="s">
        <v>21</v>
      </c>
      <c r="L1416" s="4">
        <v>1200000</v>
      </c>
      <c r="M1416" s="1">
        <f>O1416*J1416*K1416</f>
        <v>0</v>
      </c>
      <c r="N1416" s="3"/>
      <c r="O1416" s="2">
        <f>L1416/J1416*(1-K1416)</f>
        <v>120000</v>
      </c>
    </row>
    <row r="1417" ht="14.25">
      <c r="A1417" s="3" t="s">
        <v>689</v>
      </c>
      <c r="B1417" s="3" t="s">
        <v>1047</v>
      </c>
      <c r="C1417" s="3" t="s">
        <v>1062</v>
      </c>
      <c r="D1417" s="3" t="s">
        <v>17</v>
      </c>
      <c r="E1417" s="3" t="s">
        <v>389</v>
      </c>
      <c r="F1417" s="3" t="s">
        <v>19</v>
      </c>
      <c r="G1417" s="4">
        <v>0</v>
      </c>
      <c r="H1417" s="4">
        <v>900000</v>
      </c>
      <c r="I1417" s="3" t="s">
        <v>1063</v>
      </c>
      <c r="J1417" s="4">
        <v>50</v>
      </c>
      <c r="K1417" s="3" t="s">
        <v>21</v>
      </c>
      <c r="L1417" s="4">
        <v>400000</v>
      </c>
      <c r="M1417" s="1">
        <f>O1417*J1417*K1417</f>
        <v>0</v>
      </c>
      <c r="N1417" s="3"/>
      <c r="O1417" s="2">
        <f>L1417/J1417*(1-K1417)</f>
        <v>8000</v>
      </c>
    </row>
    <row r="1418" ht="14.25">
      <c r="A1418" s="3" t="s">
        <v>689</v>
      </c>
      <c r="B1418" s="3" t="s">
        <v>1047</v>
      </c>
      <c r="C1418" s="3" t="s">
        <v>1062</v>
      </c>
      <c r="D1418" s="3" t="s">
        <v>17</v>
      </c>
      <c r="E1418" s="3" t="s">
        <v>389</v>
      </c>
      <c r="F1418" s="3" t="s">
        <v>19</v>
      </c>
      <c r="G1418" s="4">
        <v>0</v>
      </c>
      <c r="H1418" s="4">
        <v>900000</v>
      </c>
      <c r="I1418" s="3" t="s">
        <v>1064</v>
      </c>
      <c r="J1418" s="4">
        <v>50</v>
      </c>
      <c r="K1418" s="3" t="s">
        <v>21</v>
      </c>
      <c r="L1418" s="4">
        <v>500000</v>
      </c>
      <c r="M1418" s="1">
        <f>O1418*J1418*K1418</f>
        <v>0</v>
      </c>
      <c r="N1418" s="3"/>
      <c r="O1418" s="2">
        <f>L1418/J1418*(1-K1418)</f>
        <v>10000</v>
      </c>
    </row>
    <row r="1419" ht="14.25">
      <c r="A1419" s="3" t="s">
        <v>689</v>
      </c>
      <c r="B1419" s="3" t="s">
        <v>1047</v>
      </c>
      <c r="C1419" s="3" t="s">
        <v>1065</v>
      </c>
      <c r="D1419" s="3" t="s">
        <v>17</v>
      </c>
      <c r="E1419" s="3" t="s">
        <v>34</v>
      </c>
      <c r="F1419" s="3" t="s">
        <v>19</v>
      </c>
      <c r="G1419" s="4">
        <v>0</v>
      </c>
      <c r="H1419" s="4">
        <v>33087740</v>
      </c>
      <c r="I1419" s="3" t="s">
        <v>39</v>
      </c>
      <c r="J1419" s="4">
        <v>3</v>
      </c>
      <c r="K1419" s="3" t="s">
        <v>21</v>
      </c>
      <c r="L1419" s="4">
        <v>9900000</v>
      </c>
      <c r="M1419" s="1">
        <f>O1419*J1419*K1419</f>
        <v>0</v>
      </c>
      <c r="N1419" s="3"/>
      <c r="O1419" s="2">
        <f>L1419/J1419*(1-K1419)</f>
        <v>3300000</v>
      </c>
    </row>
    <row r="1420" ht="14.25">
      <c r="A1420" s="3" t="s">
        <v>689</v>
      </c>
      <c r="B1420" s="3" t="s">
        <v>1047</v>
      </c>
      <c r="C1420" s="3" t="s">
        <v>1065</v>
      </c>
      <c r="D1420" s="3" t="s">
        <v>17</v>
      </c>
      <c r="E1420" s="3" t="s">
        <v>34</v>
      </c>
      <c r="F1420" s="3" t="s">
        <v>19</v>
      </c>
      <c r="G1420" s="4">
        <v>0</v>
      </c>
      <c r="H1420" s="4">
        <v>33087740</v>
      </c>
      <c r="I1420" s="3" t="s">
        <v>121</v>
      </c>
      <c r="J1420" s="4">
        <v>3</v>
      </c>
      <c r="K1420" s="3" t="s">
        <v>21</v>
      </c>
      <c r="L1420" s="4">
        <v>9900000</v>
      </c>
      <c r="M1420" s="1">
        <f>O1420*J1420*K1420</f>
        <v>0</v>
      </c>
      <c r="N1420" s="3"/>
      <c r="O1420" s="2">
        <f>L1420/J1420*(1-K1420)</f>
        <v>3300000</v>
      </c>
    </row>
    <row r="1421" ht="14.25">
      <c r="A1421" s="3" t="s">
        <v>689</v>
      </c>
      <c r="B1421" s="3" t="s">
        <v>1047</v>
      </c>
      <c r="C1421" s="3" t="s">
        <v>1065</v>
      </c>
      <c r="D1421" s="3" t="s">
        <v>17</v>
      </c>
      <c r="E1421" s="3" t="s">
        <v>34</v>
      </c>
      <c r="F1421" s="3" t="s">
        <v>19</v>
      </c>
      <c r="G1421" s="4">
        <v>0</v>
      </c>
      <c r="H1421" s="4">
        <v>33087740</v>
      </c>
      <c r="I1421" s="3" t="s">
        <v>1066</v>
      </c>
      <c r="J1421" s="4">
        <v>1</v>
      </c>
      <c r="K1421" s="3" t="s">
        <v>21</v>
      </c>
      <c r="L1421" s="4">
        <v>3760000</v>
      </c>
      <c r="M1421" s="1">
        <f>O1421*J1421*K1421</f>
        <v>0</v>
      </c>
      <c r="N1421" s="3"/>
      <c r="O1421" s="2">
        <f>L1421/J1421*(1-K1421)</f>
        <v>3760000</v>
      </c>
    </row>
    <row r="1422" ht="14.25">
      <c r="A1422" s="3" t="s">
        <v>689</v>
      </c>
      <c r="B1422" s="3" t="s">
        <v>1047</v>
      </c>
      <c r="C1422" s="3" t="s">
        <v>1065</v>
      </c>
      <c r="D1422" s="3" t="s">
        <v>17</v>
      </c>
      <c r="E1422" s="3" t="s">
        <v>34</v>
      </c>
      <c r="F1422" s="3" t="s">
        <v>19</v>
      </c>
      <c r="G1422" s="4">
        <v>0</v>
      </c>
      <c r="H1422" s="4">
        <v>33087740</v>
      </c>
      <c r="I1422" s="3" t="s">
        <v>295</v>
      </c>
      <c r="J1422" s="4">
        <v>48</v>
      </c>
      <c r="K1422" s="3" t="s">
        <v>21</v>
      </c>
      <c r="L1422" s="4">
        <v>1608000</v>
      </c>
      <c r="M1422" s="1">
        <f>O1422*J1422*K1422</f>
        <v>0</v>
      </c>
      <c r="N1422" s="3"/>
      <c r="O1422" s="2">
        <f>L1422/J1422*(1-K1422)</f>
        <v>33500</v>
      </c>
    </row>
    <row r="1423" ht="14.25">
      <c r="A1423" s="3" t="s">
        <v>689</v>
      </c>
      <c r="B1423" s="3" t="s">
        <v>1047</v>
      </c>
      <c r="C1423" s="3" t="s">
        <v>1065</v>
      </c>
      <c r="D1423" s="3" t="s">
        <v>17</v>
      </c>
      <c r="E1423" s="3" t="s">
        <v>34</v>
      </c>
      <c r="F1423" s="3" t="s">
        <v>19</v>
      </c>
      <c r="G1423" s="4">
        <v>0</v>
      </c>
      <c r="H1423" s="4">
        <v>33087740</v>
      </c>
      <c r="I1423" s="3" t="s">
        <v>47</v>
      </c>
      <c r="J1423" s="4">
        <v>72</v>
      </c>
      <c r="K1423" s="3" t="s">
        <v>21</v>
      </c>
      <c r="L1423" s="4">
        <v>2412000</v>
      </c>
      <c r="M1423" s="1">
        <f>O1423*J1423*K1423</f>
        <v>0</v>
      </c>
      <c r="N1423" s="3"/>
      <c r="O1423" s="2">
        <f>L1423/J1423*(1-K1423)</f>
        <v>33500</v>
      </c>
    </row>
    <row r="1424" ht="14.25">
      <c r="A1424" s="3" t="s">
        <v>689</v>
      </c>
      <c r="B1424" s="3" t="s">
        <v>1047</v>
      </c>
      <c r="C1424" s="3" t="s">
        <v>1065</v>
      </c>
      <c r="D1424" s="3" t="s">
        <v>17</v>
      </c>
      <c r="E1424" s="3" t="s">
        <v>34</v>
      </c>
      <c r="F1424" s="3" t="s">
        <v>19</v>
      </c>
      <c r="G1424" s="4">
        <v>0</v>
      </c>
      <c r="H1424" s="4">
        <v>33087740</v>
      </c>
      <c r="I1424" s="3" t="s">
        <v>201</v>
      </c>
      <c r="J1424" s="4">
        <v>4</v>
      </c>
      <c r="K1424" s="3" t="s">
        <v>21</v>
      </c>
      <c r="L1424" s="4">
        <v>123740</v>
      </c>
      <c r="M1424" s="1">
        <f>O1424*J1424*K1424</f>
        <v>0</v>
      </c>
      <c r="N1424" s="3"/>
      <c r="O1424" s="2">
        <f>L1424/J1424*(1-K1424)</f>
        <v>30935</v>
      </c>
    </row>
    <row r="1425" ht="14.25">
      <c r="A1425" s="3" t="s">
        <v>689</v>
      </c>
      <c r="B1425" s="3" t="s">
        <v>1047</v>
      </c>
      <c r="C1425" s="3" t="s">
        <v>1065</v>
      </c>
      <c r="D1425" s="3" t="s">
        <v>17</v>
      </c>
      <c r="E1425" s="3" t="s">
        <v>34</v>
      </c>
      <c r="F1425" s="3" t="s">
        <v>19</v>
      </c>
      <c r="G1425" s="4">
        <v>0</v>
      </c>
      <c r="H1425" s="4">
        <v>33087740</v>
      </c>
      <c r="I1425" s="3" t="s">
        <v>377</v>
      </c>
      <c r="J1425" s="4">
        <v>24</v>
      </c>
      <c r="K1425" s="3" t="s">
        <v>21</v>
      </c>
      <c r="L1425" s="4">
        <v>528000</v>
      </c>
      <c r="M1425" s="1">
        <f>O1425*J1425*K1425</f>
        <v>0</v>
      </c>
      <c r="N1425" s="3"/>
      <c r="O1425" s="2">
        <f>L1425/J1425*(1-K1425)</f>
        <v>22000</v>
      </c>
    </row>
    <row r="1426" ht="14.25">
      <c r="A1426" s="3" t="s">
        <v>689</v>
      </c>
      <c r="B1426" s="3" t="s">
        <v>1047</v>
      </c>
      <c r="C1426" s="3" t="s">
        <v>1065</v>
      </c>
      <c r="D1426" s="3" t="s">
        <v>17</v>
      </c>
      <c r="E1426" s="3" t="s">
        <v>34</v>
      </c>
      <c r="F1426" s="3" t="s">
        <v>19</v>
      </c>
      <c r="G1426" s="4">
        <v>0</v>
      </c>
      <c r="H1426" s="4">
        <v>33087740</v>
      </c>
      <c r="I1426" s="3" t="s">
        <v>395</v>
      </c>
      <c r="J1426" s="4">
        <v>12</v>
      </c>
      <c r="K1426" s="3" t="s">
        <v>21</v>
      </c>
      <c r="L1426" s="4">
        <v>1500000</v>
      </c>
      <c r="M1426" s="1">
        <f>O1426*J1426*K1426</f>
        <v>0</v>
      </c>
      <c r="N1426" s="3"/>
      <c r="O1426" s="2">
        <f>L1426/J1426*(1-K1426)</f>
        <v>125000</v>
      </c>
    </row>
    <row r="1427" ht="14.25">
      <c r="A1427" s="3" t="s">
        <v>689</v>
      </c>
      <c r="B1427" s="3" t="s">
        <v>1047</v>
      </c>
      <c r="C1427" s="3" t="s">
        <v>1065</v>
      </c>
      <c r="D1427" s="3" t="s">
        <v>17</v>
      </c>
      <c r="E1427" s="3" t="s">
        <v>34</v>
      </c>
      <c r="F1427" s="3" t="s">
        <v>19</v>
      </c>
      <c r="G1427" s="4">
        <v>0</v>
      </c>
      <c r="H1427" s="4">
        <v>33087740</v>
      </c>
      <c r="I1427" s="3" t="s">
        <v>417</v>
      </c>
      <c r="J1427" s="4">
        <v>4</v>
      </c>
      <c r="K1427" s="3" t="s">
        <v>21</v>
      </c>
      <c r="L1427" s="4">
        <v>650000</v>
      </c>
      <c r="M1427" s="1">
        <f>O1427*J1427*K1427</f>
        <v>0</v>
      </c>
      <c r="N1427" s="3"/>
      <c r="O1427" s="2">
        <f>L1427/J1427*(1-K1427)</f>
        <v>162500</v>
      </c>
    </row>
    <row r="1428" ht="14.25">
      <c r="A1428" s="3" t="s">
        <v>689</v>
      </c>
      <c r="B1428" s="3" t="s">
        <v>1047</v>
      </c>
      <c r="C1428" s="3" t="s">
        <v>1065</v>
      </c>
      <c r="D1428" s="3" t="s">
        <v>17</v>
      </c>
      <c r="E1428" s="3" t="s">
        <v>34</v>
      </c>
      <c r="F1428" s="3" t="s">
        <v>19</v>
      </c>
      <c r="G1428" s="4">
        <v>0</v>
      </c>
      <c r="H1428" s="4">
        <v>33087740</v>
      </c>
      <c r="I1428" s="3" t="s">
        <v>56</v>
      </c>
      <c r="J1428" s="4">
        <v>12</v>
      </c>
      <c r="K1428" s="3" t="s">
        <v>21</v>
      </c>
      <c r="L1428" s="4">
        <v>1860000</v>
      </c>
      <c r="M1428" s="1">
        <f>O1428*J1428*K1428</f>
        <v>0</v>
      </c>
      <c r="N1428" s="3"/>
      <c r="O1428" s="2">
        <f>L1428/J1428*(1-K1428)</f>
        <v>155000</v>
      </c>
    </row>
    <row r="1429" ht="14.25">
      <c r="A1429" s="3" t="s">
        <v>689</v>
      </c>
      <c r="B1429" s="3" t="s">
        <v>1047</v>
      </c>
      <c r="C1429" s="3" t="s">
        <v>1065</v>
      </c>
      <c r="D1429" s="3" t="s">
        <v>17</v>
      </c>
      <c r="E1429" s="3" t="s">
        <v>34</v>
      </c>
      <c r="F1429" s="3" t="s">
        <v>19</v>
      </c>
      <c r="G1429" s="4">
        <v>0</v>
      </c>
      <c r="H1429" s="4">
        <v>33087740</v>
      </c>
      <c r="I1429" s="3" t="s">
        <v>415</v>
      </c>
      <c r="J1429" s="4">
        <v>6</v>
      </c>
      <c r="K1429" s="3" t="s">
        <v>21</v>
      </c>
      <c r="L1429" s="4">
        <v>216000</v>
      </c>
      <c r="M1429" s="1">
        <f>O1429*J1429*K1429</f>
        <v>0</v>
      </c>
      <c r="N1429" s="3"/>
      <c r="O1429" s="2">
        <f>L1429/J1429*(1-K1429)</f>
        <v>36000</v>
      </c>
    </row>
    <row r="1430" ht="14.25">
      <c r="A1430" s="3" t="s">
        <v>689</v>
      </c>
      <c r="B1430" s="3" t="s">
        <v>1047</v>
      </c>
      <c r="C1430" s="3" t="s">
        <v>1065</v>
      </c>
      <c r="D1430" s="3" t="s">
        <v>17</v>
      </c>
      <c r="E1430" s="3" t="s">
        <v>34</v>
      </c>
      <c r="F1430" s="3" t="s">
        <v>19</v>
      </c>
      <c r="G1430" s="4">
        <v>0</v>
      </c>
      <c r="H1430" s="4">
        <v>33087740</v>
      </c>
      <c r="I1430" s="3" t="s">
        <v>381</v>
      </c>
      <c r="J1430" s="4">
        <v>20</v>
      </c>
      <c r="K1430" s="3" t="s">
        <v>21</v>
      </c>
      <c r="L1430" s="4">
        <v>630000</v>
      </c>
      <c r="M1430" s="1">
        <f>O1430*J1430*K1430</f>
        <v>0</v>
      </c>
      <c r="N1430" s="3"/>
      <c r="O1430" s="2">
        <f>L1430/J1430*(1-K1430)</f>
        <v>31500</v>
      </c>
    </row>
    <row r="1431" ht="14.25">
      <c r="A1431" s="3" t="s">
        <v>689</v>
      </c>
      <c r="B1431" s="3" t="s">
        <v>1047</v>
      </c>
      <c r="C1431" s="3" t="s">
        <v>1067</v>
      </c>
      <c r="D1431" s="3" t="s">
        <v>17</v>
      </c>
      <c r="E1431" s="3" t="s">
        <v>34</v>
      </c>
      <c r="F1431" s="3" t="s">
        <v>19</v>
      </c>
      <c r="G1431" s="4">
        <v>0</v>
      </c>
      <c r="H1431" s="4">
        <v>10175622</v>
      </c>
      <c r="I1431" s="3" t="s">
        <v>223</v>
      </c>
      <c r="J1431" s="4">
        <v>12</v>
      </c>
      <c r="K1431" s="3" t="s">
        <v>21</v>
      </c>
      <c r="L1431" s="4">
        <v>734400</v>
      </c>
      <c r="M1431" s="1">
        <f>O1431*J1431*K1431</f>
        <v>0</v>
      </c>
      <c r="N1431" s="3"/>
      <c r="O1431" s="2">
        <f>L1431/J1431*(1-K1431)</f>
        <v>61200</v>
      </c>
    </row>
    <row r="1432" ht="14.25">
      <c r="A1432" s="3" t="s">
        <v>689</v>
      </c>
      <c r="B1432" s="3" t="s">
        <v>1047</v>
      </c>
      <c r="C1432" s="3" t="s">
        <v>1067</v>
      </c>
      <c r="D1432" s="3" t="s">
        <v>17</v>
      </c>
      <c r="E1432" s="3" t="s">
        <v>34</v>
      </c>
      <c r="F1432" s="3" t="s">
        <v>19</v>
      </c>
      <c r="G1432" s="4">
        <v>0</v>
      </c>
      <c r="H1432" s="4">
        <v>10175622</v>
      </c>
      <c r="I1432" s="3" t="s">
        <v>795</v>
      </c>
      <c r="J1432" s="4">
        <v>3</v>
      </c>
      <c r="K1432" s="3" t="s">
        <v>21</v>
      </c>
      <c r="L1432" s="4">
        <v>739662</v>
      </c>
      <c r="M1432" s="1">
        <f>O1432*J1432*K1432</f>
        <v>0</v>
      </c>
      <c r="N1432" s="3"/>
      <c r="O1432" s="2">
        <f>L1432/J1432*(1-K1432)</f>
        <v>246554</v>
      </c>
    </row>
    <row r="1433" ht="14.25">
      <c r="A1433" s="3" t="s">
        <v>689</v>
      </c>
      <c r="B1433" s="3" t="s">
        <v>1047</v>
      </c>
      <c r="C1433" s="3" t="s">
        <v>1067</v>
      </c>
      <c r="D1433" s="3" t="s">
        <v>17</v>
      </c>
      <c r="E1433" s="3" t="s">
        <v>34</v>
      </c>
      <c r="F1433" s="3" t="s">
        <v>19</v>
      </c>
      <c r="G1433" s="4">
        <v>0</v>
      </c>
      <c r="H1433" s="4">
        <v>10175622</v>
      </c>
      <c r="I1433" s="3" t="s">
        <v>126</v>
      </c>
      <c r="J1433" s="4">
        <v>4</v>
      </c>
      <c r="K1433" s="3" t="s">
        <v>21</v>
      </c>
      <c r="L1433" s="4">
        <v>940440</v>
      </c>
      <c r="M1433" s="1">
        <f>O1433*J1433*K1433</f>
        <v>0</v>
      </c>
      <c r="N1433" s="3"/>
      <c r="O1433" s="2">
        <f>L1433/J1433*(1-K1433)</f>
        <v>235110</v>
      </c>
    </row>
    <row r="1434" ht="14.25">
      <c r="A1434" s="3" t="s">
        <v>689</v>
      </c>
      <c r="B1434" s="3" t="s">
        <v>1047</v>
      </c>
      <c r="C1434" s="3" t="s">
        <v>1067</v>
      </c>
      <c r="D1434" s="3" t="s">
        <v>17</v>
      </c>
      <c r="E1434" s="3" t="s">
        <v>34</v>
      </c>
      <c r="F1434" s="3" t="s">
        <v>19</v>
      </c>
      <c r="G1434" s="4">
        <v>0</v>
      </c>
      <c r="H1434" s="4">
        <v>10175622</v>
      </c>
      <c r="I1434" s="3" t="s">
        <v>261</v>
      </c>
      <c r="J1434" s="4">
        <v>12</v>
      </c>
      <c r="K1434" s="3" t="s">
        <v>21</v>
      </c>
      <c r="L1434" s="4">
        <v>771120</v>
      </c>
      <c r="M1434" s="1">
        <f>O1434*J1434*K1434</f>
        <v>0</v>
      </c>
      <c r="N1434" s="3"/>
      <c r="O1434" s="2">
        <f>L1434/J1434*(1-K1434)</f>
        <v>64260</v>
      </c>
    </row>
    <row r="1435" ht="14.25">
      <c r="A1435" s="3" t="s">
        <v>689</v>
      </c>
      <c r="B1435" s="3" t="s">
        <v>1047</v>
      </c>
      <c r="C1435" s="3" t="s">
        <v>1067</v>
      </c>
      <c r="D1435" s="3" t="s">
        <v>17</v>
      </c>
      <c r="E1435" s="3" t="s">
        <v>34</v>
      </c>
      <c r="F1435" s="3" t="s">
        <v>19</v>
      </c>
      <c r="G1435" s="4">
        <v>0</v>
      </c>
      <c r="H1435" s="4">
        <v>10175622</v>
      </c>
      <c r="I1435" s="3" t="s">
        <v>467</v>
      </c>
      <c r="J1435" s="4">
        <v>20</v>
      </c>
      <c r="K1435" s="3" t="s">
        <v>21</v>
      </c>
      <c r="L1435" s="4">
        <v>670000</v>
      </c>
      <c r="M1435" s="1">
        <f>O1435*J1435*K1435</f>
        <v>0</v>
      </c>
      <c r="N1435" s="3"/>
      <c r="O1435" s="2">
        <f>L1435/J1435*(1-K1435)</f>
        <v>33500</v>
      </c>
    </row>
    <row r="1436" ht="14.25">
      <c r="A1436" s="3" t="s">
        <v>689</v>
      </c>
      <c r="B1436" s="3" t="s">
        <v>1047</v>
      </c>
      <c r="C1436" s="3" t="s">
        <v>1067</v>
      </c>
      <c r="D1436" s="3" t="s">
        <v>17</v>
      </c>
      <c r="E1436" s="3" t="s">
        <v>34</v>
      </c>
      <c r="F1436" s="3" t="s">
        <v>19</v>
      </c>
      <c r="G1436" s="4">
        <v>0</v>
      </c>
      <c r="H1436" s="4">
        <v>10175622</v>
      </c>
      <c r="I1436" s="3" t="s">
        <v>758</v>
      </c>
      <c r="J1436" s="4">
        <v>1</v>
      </c>
      <c r="K1436" s="3" t="s">
        <v>21</v>
      </c>
      <c r="L1436" s="4">
        <v>3000000</v>
      </c>
      <c r="M1436" s="1">
        <f>O1436*J1436*K1436</f>
        <v>0</v>
      </c>
      <c r="N1436" s="3"/>
      <c r="O1436" s="2">
        <f>L1436/J1436*(1-K1436)</f>
        <v>3000000</v>
      </c>
    </row>
    <row r="1437" ht="14.25">
      <c r="A1437" s="3" t="s">
        <v>689</v>
      </c>
      <c r="B1437" s="3" t="s">
        <v>1047</v>
      </c>
      <c r="C1437" s="3" t="s">
        <v>1067</v>
      </c>
      <c r="D1437" s="3" t="s">
        <v>17</v>
      </c>
      <c r="E1437" s="3" t="s">
        <v>34</v>
      </c>
      <c r="F1437" s="3" t="s">
        <v>19</v>
      </c>
      <c r="G1437" s="4">
        <v>0</v>
      </c>
      <c r="H1437" s="4">
        <v>10175622</v>
      </c>
      <c r="I1437" s="3" t="s">
        <v>1068</v>
      </c>
      <c r="J1437" s="4">
        <v>1</v>
      </c>
      <c r="K1437" s="3" t="s">
        <v>21</v>
      </c>
      <c r="L1437" s="4">
        <v>2600000</v>
      </c>
      <c r="M1437" s="1">
        <f>O1437*J1437*K1437</f>
        <v>0</v>
      </c>
      <c r="N1437" s="3"/>
      <c r="O1437" s="2">
        <f>L1437/J1437*(1-K1437)</f>
        <v>2600000</v>
      </c>
    </row>
    <row r="1438" ht="14.25">
      <c r="A1438" s="3" t="s">
        <v>689</v>
      </c>
      <c r="B1438" s="3" t="s">
        <v>1047</v>
      </c>
      <c r="C1438" s="3" t="s">
        <v>1067</v>
      </c>
      <c r="D1438" s="3" t="s">
        <v>17</v>
      </c>
      <c r="E1438" s="3" t="s">
        <v>34</v>
      </c>
      <c r="F1438" s="3" t="s">
        <v>19</v>
      </c>
      <c r="G1438" s="4">
        <v>0</v>
      </c>
      <c r="H1438" s="4">
        <v>10175622</v>
      </c>
      <c r="I1438" s="3" t="s">
        <v>982</v>
      </c>
      <c r="J1438" s="4">
        <v>6</v>
      </c>
      <c r="K1438" s="3" t="s">
        <v>21</v>
      </c>
      <c r="L1438" s="4">
        <v>720000</v>
      </c>
      <c r="M1438" s="1">
        <f>O1438*J1438*K1438</f>
        <v>0</v>
      </c>
      <c r="N1438" s="3"/>
      <c r="O1438" s="2">
        <f>L1438/J1438*(1-K1438)</f>
        <v>120000</v>
      </c>
    </row>
    <row r="1439" ht="14.25">
      <c r="A1439" s="3" t="s">
        <v>689</v>
      </c>
      <c r="B1439" s="3" t="s">
        <v>1047</v>
      </c>
      <c r="C1439" s="3" t="s">
        <v>1069</v>
      </c>
      <c r="D1439" s="3" t="s">
        <v>17</v>
      </c>
      <c r="E1439" s="3" t="s">
        <v>786</v>
      </c>
      <c r="F1439" s="3" t="s">
        <v>19</v>
      </c>
      <c r="G1439" s="4">
        <v>0</v>
      </c>
      <c r="H1439" s="4">
        <v>4686218</v>
      </c>
      <c r="I1439" s="3" t="s">
        <v>787</v>
      </c>
      <c r="J1439" s="4">
        <v>4</v>
      </c>
      <c r="K1439" s="3" t="s">
        <v>21</v>
      </c>
      <c r="L1439" s="4">
        <v>1050000</v>
      </c>
      <c r="M1439" s="1">
        <f>O1439*J1439*K1439</f>
        <v>0</v>
      </c>
      <c r="N1439" s="3"/>
      <c r="O1439" s="2">
        <f>L1439/J1439*(1-K1439)</f>
        <v>262500</v>
      </c>
    </row>
    <row r="1440" ht="14.25">
      <c r="A1440" s="3" t="s">
        <v>689</v>
      </c>
      <c r="B1440" s="3" t="s">
        <v>1047</v>
      </c>
      <c r="C1440" s="3" t="s">
        <v>1069</v>
      </c>
      <c r="D1440" s="3" t="s">
        <v>17</v>
      </c>
      <c r="E1440" s="3" t="s">
        <v>786</v>
      </c>
      <c r="F1440" s="3" t="s">
        <v>19</v>
      </c>
      <c r="G1440" s="4">
        <v>0</v>
      </c>
      <c r="H1440" s="4">
        <v>4686218</v>
      </c>
      <c r="I1440" s="3" t="s">
        <v>126</v>
      </c>
      <c r="J1440" s="4">
        <v>8</v>
      </c>
      <c r="K1440" s="3" t="s">
        <v>21</v>
      </c>
      <c r="L1440" s="4">
        <v>1936200</v>
      </c>
      <c r="M1440" s="1">
        <f>O1440*J1440*K1440</f>
        <v>0</v>
      </c>
      <c r="N1440" s="3"/>
      <c r="O1440" s="2">
        <f>L1440/J1440*(1-K1440)</f>
        <v>242025</v>
      </c>
    </row>
    <row r="1441" ht="14.25">
      <c r="A1441" s="3" t="s">
        <v>689</v>
      </c>
      <c r="B1441" s="3" t="s">
        <v>1047</v>
      </c>
      <c r="C1441" s="3" t="s">
        <v>1069</v>
      </c>
      <c r="D1441" s="3" t="s">
        <v>17</v>
      </c>
      <c r="E1441" s="3" t="s">
        <v>786</v>
      </c>
      <c r="F1441" s="3" t="s">
        <v>19</v>
      </c>
      <c r="G1441" s="4">
        <v>0</v>
      </c>
      <c r="H1441" s="4">
        <v>4686218</v>
      </c>
      <c r="I1441" s="3" t="s">
        <v>795</v>
      </c>
      <c r="J1441" s="4">
        <v>3</v>
      </c>
      <c r="K1441" s="3" t="s">
        <v>21</v>
      </c>
      <c r="L1441" s="4">
        <v>761418</v>
      </c>
      <c r="M1441" s="1">
        <f>O1441*J1441*K1441</f>
        <v>0</v>
      </c>
      <c r="N1441" s="3"/>
      <c r="O1441" s="2">
        <f>L1441/J1441*(1-K1441)</f>
        <v>253806</v>
      </c>
    </row>
    <row r="1442" ht="14.25">
      <c r="A1442" s="3" t="s">
        <v>689</v>
      </c>
      <c r="B1442" s="3" t="s">
        <v>1047</v>
      </c>
      <c r="C1442" s="3" t="s">
        <v>1069</v>
      </c>
      <c r="D1442" s="3" t="s">
        <v>17</v>
      </c>
      <c r="E1442" s="3" t="s">
        <v>786</v>
      </c>
      <c r="F1442" s="3" t="s">
        <v>19</v>
      </c>
      <c r="G1442" s="4">
        <v>0</v>
      </c>
      <c r="H1442" s="4">
        <v>4686218</v>
      </c>
      <c r="I1442" s="3" t="s">
        <v>187</v>
      </c>
      <c r="J1442" s="4">
        <v>20</v>
      </c>
      <c r="K1442" s="3" t="s">
        <v>21</v>
      </c>
      <c r="L1442" s="4">
        <v>938600</v>
      </c>
      <c r="M1442" s="1">
        <f>O1442*J1442*K1442</f>
        <v>0</v>
      </c>
      <c r="N1442" s="3"/>
      <c r="O1442" s="2">
        <f>L1442/J1442*(1-K1442)</f>
        <v>46930</v>
      </c>
    </row>
    <row r="1443" ht="14.25">
      <c r="A1443" s="3" t="s">
        <v>689</v>
      </c>
      <c r="B1443" s="3" t="s">
        <v>689</v>
      </c>
      <c r="C1443" s="3" t="s">
        <v>1070</v>
      </c>
      <c r="D1443" s="3" t="s">
        <v>17</v>
      </c>
      <c r="E1443" s="3" t="s">
        <v>286</v>
      </c>
      <c r="F1443" s="3" t="s">
        <v>19</v>
      </c>
      <c r="G1443" s="4">
        <v>0</v>
      </c>
      <c r="H1443" s="4">
        <v>960000</v>
      </c>
      <c r="I1443" s="3" t="s">
        <v>287</v>
      </c>
      <c r="J1443" s="4">
        <v>8</v>
      </c>
      <c r="K1443" s="3" t="s">
        <v>21</v>
      </c>
      <c r="L1443" s="4">
        <v>960000</v>
      </c>
      <c r="M1443" s="1">
        <f>O1443*J1443*K1443</f>
        <v>0</v>
      </c>
      <c r="N1443" s="3"/>
      <c r="O1443" s="2">
        <f>L1443/J1443*(1-K1443)</f>
        <v>120000</v>
      </c>
    </row>
    <row r="1444" ht="14.25">
      <c r="A1444" s="3" t="s">
        <v>1071</v>
      </c>
      <c r="B1444" s="3" t="s">
        <v>1071</v>
      </c>
      <c r="C1444" s="3" t="s">
        <v>1072</v>
      </c>
      <c r="D1444" s="3" t="s">
        <v>17</v>
      </c>
      <c r="E1444" s="3" t="s">
        <v>782</v>
      </c>
      <c r="F1444" s="3" t="s">
        <v>19</v>
      </c>
      <c r="G1444" s="4">
        <v>0</v>
      </c>
      <c r="H1444" s="4">
        <v>0</v>
      </c>
      <c r="I1444" s="3" t="s">
        <v>181</v>
      </c>
      <c r="J1444" s="4">
        <v>12</v>
      </c>
      <c r="K1444" s="3" t="s">
        <v>21</v>
      </c>
      <c r="L1444" s="4">
        <v>0</v>
      </c>
      <c r="M1444" s="1">
        <f>O1444*J1444*K1444</f>
        <v>0</v>
      </c>
      <c r="N1444" s="3"/>
      <c r="O1444" s="2">
        <f>L1444/J1444*(1-K1444)</f>
        <v>0</v>
      </c>
    </row>
    <row r="1445" ht="14.25">
      <c r="A1445" s="3" t="s">
        <v>1071</v>
      </c>
      <c r="B1445" s="3" t="s">
        <v>1071</v>
      </c>
      <c r="C1445" s="3" t="s">
        <v>1072</v>
      </c>
      <c r="D1445" s="3" t="s">
        <v>17</v>
      </c>
      <c r="E1445" s="3" t="s">
        <v>782</v>
      </c>
      <c r="F1445" s="3" t="s">
        <v>19</v>
      </c>
      <c r="G1445" s="4">
        <v>0</v>
      </c>
      <c r="H1445" s="4">
        <v>0</v>
      </c>
      <c r="I1445" s="3" t="s">
        <v>210</v>
      </c>
      <c r="J1445" s="4">
        <v>2</v>
      </c>
      <c r="K1445" s="3" t="s">
        <v>21</v>
      </c>
      <c r="L1445" s="4">
        <v>0</v>
      </c>
      <c r="M1445" s="1">
        <f>O1445*J1445*K1445</f>
        <v>0</v>
      </c>
      <c r="N1445" s="3"/>
      <c r="O1445" s="2">
        <f>L1445/J1445*(1-K1445)</f>
        <v>0</v>
      </c>
    </row>
    <row r="1446" ht="14.25">
      <c r="A1446" s="3" t="s">
        <v>1071</v>
      </c>
      <c r="B1446" s="3" t="s">
        <v>1071</v>
      </c>
      <c r="C1446" s="3" t="s">
        <v>1072</v>
      </c>
      <c r="D1446" s="3" t="s">
        <v>17</v>
      </c>
      <c r="E1446" s="3" t="s">
        <v>782</v>
      </c>
      <c r="F1446" s="3" t="s">
        <v>19</v>
      </c>
      <c r="G1446" s="4">
        <v>0</v>
      </c>
      <c r="H1446" s="4">
        <v>0</v>
      </c>
      <c r="I1446" s="3" t="s">
        <v>38</v>
      </c>
      <c r="J1446" s="4">
        <v>48</v>
      </c>
      <c r="K1446" s="3" t="s">
        <v>21</v>
      </c>
      <c r="L1446" s="4">
        <v>0</v>
      </c>
      <c r="M1446" s="1">
        <f>O1446*J1446*K1446</f>
        <v>0</v>
      </c>
      <c r="N1446" s="3"/>
      <c r="O1446" s="2">
        <f>L1446/J1446*(1-K1446)</f>
        <v>0</v>
      </c>
    </row>
    <row r="1447" ht="14.25">
      <c r="A1447" s="3" t="s">
        <v>1071</v>
      </c>
      <c r="B1447" s="3" t="s">
        <v>1071</v>
      </c>
      <c r="C1447" s="3" t="s">
        <v>1072</v>
      </c>
      <c r="D1447" s="3" t="s">
        <v>17</v>
      </c>
      <c r="E1447" s="3" t="s">
        <v>782</v>
      </c>
      <c r="F1447" s="3" t="s">
        <v>19</v>
      </c>
      <c r="G1447" s="4">
        <v>0</v>
      </c>
      <c r="H1447" s="4">
        <v>0</v>
      </c>
      <c r="I1447" s="3" t="s">
        <v>241</v>
      </c>
      <c r="J1447" s="4">
        <v>6</v>
      </c>
      <c r="K1447" s="3" t="s">
        <v>21</v>
      </c>
      <c r="L1447" s="4">
        <v>0</v>
      </c>
      <c r="M1447" s="1">
        <f>O1447*J1447*K1447</f>
        <v>0</v>
      </c>
      <c r="N1447" s="3"/>
      <c r="O1447" s="2">
        <f>L1447/J1447*(1-K1447)</f>
        <v>0</v>
      </c>
    </row>
    <row r="1448" ht="14.25">
      <c r="A1448" s="3" t="s">
        <v>1071</v>
      </c>
      <c r="B1448" s="3" t="s">
        <v>1071</v>
      </c>
      <c r="C1448" s="3" t="s">
        <v>1072</v>
      </c>
      <c r="D1448" s="3" t="s">
        <v>17</v>
      </c>
      <c r="E1448" s="3" t="s">
        <v>782</v>
      </c>
      <c r="F1448" s="3" t="s">
        <v>19</v>
      </c>
      <c r="G1448" s="4">
        <v>0</v>
      </c>
      <c r="H1448" s="4">
        <v>0</v>
      </c>
      <c r="I1448" s="3" t="s">
        <v>1073</v>
      </c>
      <c r="J1448" s="4">
        <v>48</v>
      </c>
      <c r="K1448" s="3" t="s">
        <v>21</v>
      </c>
      <c r="L1448" s="4">
        <v>0</v>
      </c>
      <c r="M1448" s="1">
        <f>O1448*J1448*K1448</f>
        <v>0</v>
      </c>
      <c r="N1448" s="3"/>
      <c r="O1448" s="2">
        <f>L1448/J1448*(1-K1448)</f>
        <v>0</v>
      </c>
    </row>
    <row r="1449" ht="14.25">
      <c r="A1449" s="3" t="s">
        <v>1071</v>
      </c>
      <c r="B1449" s="3" t="s">
        <v>1071</v>
      </c>
      <c r="C1449" s="3" t="s">
        <v>1072</v>
      </c>
      <c r="D1449" s="3" t="s">
        <v>17</v>
      </c>
      <c r="E1449" s="3" t="s">
        <v>782</v>
      </c>
      <c r="F1449" s="3" t="s">
        <v>19</v>
      </c>
      <c r="G1449" s="4">
        <v>0</v>
      </c>
      <c r="H1449" s="4">
        <v>0</v>
      </c>
      <c r="I1449" s="3" t="s">
        <v>137</v>
      </c>
      <c r="J1449" s="4">
        <v>16</v>
      </c>
      <c r="K1449" s="3" t="s">
        <v>21</v>
      </c>
      <c r="L1449" s="4">
        <v>0</v>
      </c>
      <c r="M1449" s="1">
        <f>O1449*J1449*K1449</f>
        <v>0</v>
      </c>
      <c r="N1449" s="3"/>
      <c r="O1449" s="2">
        <f>L1449/J1449*(1-K1449)</f>
        <v>0</v>
      </c>
    </row>
    <row r="1450" ht="14.25">
      <c r="A1450" s="3" t="s">
        <v>1071</v>
      </c>
      <c r="B1450" s="3" t="s">
        <v>1071</v>
      </c>
      <c r="C1450" s="3" t="s">
        <v>1072</v>
      </c>
      <c r="D1450" s="3" t="s">
        <v>17</v>
      </c>
      <c r="E1450" s="3" t="s">
        <v>782</v>
      </c>
      <c r="F1450" s="3" t="s">
        <v>19</v>
      </c>
      <c r="G1450" s="4">
        <v>0</v>
      </c>
      <c r="H1450" s="4">
        <v>0</v>
      </c>
      <c r="I1450" s="3" t="s">
        <v>1074</v>
      </c>
      <c r="J1450" s="4">
        <v>96</v>
      </c>
      <c r="K1450" s="3" t="s">
        <v>21</v>
      </c>
      <c r="L1450" s="4">
        <v>0</v>
      </c>
      <c r="M1450" s="1">
        <f>O1450*J1450*K1450</f>
        <v>0</v>
      </c>
      <c r="N1450" s="3"/>
      <c r="O1450" s="2">
        <f>L1450/J1450*(1-K1450)</f>
        <v>0</v>
      </c>
    </row>
    <row r="1451" ht="14.25">
      <c r="A1451" s="3" t="s">
        <v>1071</v>
      </c>
      <c r="B1451" s="3" t="s">
        <v>1071</v>
      </c>
      <c r="C1451" s="3" t="s">
        <v>1072</v>
      </c>
      <c r="D1451" s="3" t="s">
        <v>17</v>
      </c>
      <c r="E1451" s="3" t="s">
        <v>782</v>
      </c>
      <c r="F1451" s="3" t="s">
        <v>19</v>
      </c>
      <c r="G1451" s="4">
        <v>0</v>
      </c>
      <c r="H1451" s="4">
        <v>0</v>
      </c>
      <c r="I1451" s="3" t="s">
        <v>66</v>
      </c>
      <c r="J1451" s="4">
        <v>2</v>
      </c>
      <c r="K1451" s="3" t="s">
        <v>21</v>
      </c>
      <c r="L1451" s="4">
        <v>0</v>
      </c>
      <c r="M1451" s="1">
        <f>O1451*J1451*K1451</f>
        <v>0</v>
      </c>
      <c r="N1451" s="3"/>
      <c r="O1451" s="2">
        <f>L1451/J1451*(1-K1451)</f>
        <v>0</v>
      </c>
    </row>
    <row r="1452" ht="14.25">
      <c r="A1452" s="3" t="s">
        <v>689</v>
      </c>
      <c r="B1452" s="3" t="s">
        <v>689</v>
      </c>
      <c r="C1452" s="3" t="s">
        <v>1075</v>
      </c>
      <c r="D1452" s="3" t="s">
        <v>17</v>
      </c>
      <c r="E1452" s="3" t="s">
        <v>1076</v>
      </c>
      <c r="F1452" s="3" t="s">
        <v>19</v>
      </c>
      <c r="G1452" s="4">
        <v>0</v>
      </c>
      <c r="H1452" s="4">
        <v>1802000</v>
      </c>
      <c r="I1452" s="3" t="s">
        <v>415</v>
      </c>
      <c r="J1452" s="4">
        <v>12</v>
      </c>
      <c r="K1452" s="3" t="s">
        <v>21</v>
      </c>
      <c r="L1452" s="4">
        <v>432000</v>
      </c>
      <c r="M1452" s="1">
        <f>O1452*J1452*K1452</f>
        <v>0</v>
      </c>
      <c r="N1452" s="3"/>
      <c r="O1452" s="2">
        <f>L1452/J1452*(1-K1452)</f>
        <v>36000</v>
      </c>
    </row>
    <row r="1453" ht="14.25">
      <c r="A1453" s="3" t="s">
        <v>689</v>
      </c>
      <c r="B1453" s="3" t="s">
        <v>689</v>
      </c>
      <c r="C1453" s="3" t="s">
        <v>1075</v>
      </c>
      <c r="D1453" s="3" t="s">
        <v>17</v>
      </c>
      <c r="E1453" s="3" t="s">
        <v>1076</v>
      </c>
      <c r="F1453" s="3" t="s">
        <v>19</v>
      </c>
      <c r="G1453" s="4">
        <v>0</v>
      </c>
      <c r="H1453" s="4">
        <v>1802000</v>
      </c>
      <c r="I1453" s="3" t="s">
        <v>395</v>
      </c>
      <c r="J1453" s="4">
        <v>6</v>
      </c>
      <c r="K1453" s="3" t="s">
        <v>21</v>
      </c>
      <c r="L1453" s="4">
        <v>750000</v>
      </c>
      <c r="M1453" s="1">
        <f>O1453*J1453*K1453</f>
        <v>0</v>
      </c>
      <c r="N1453" s="3"/>
      <c r="O1453" s="2">
        <f>L1453/J1453*(1-K1453)</f>
        <v>125000</v>
      </c>
    </row>
    <row r="1454" ht="14.25">
      <c r="A1454" s="3" t="s">
        <v>689</v>
      </c>
      <c r="B1454" s="3" t="s">
        <v>689</v>
      </c>
      <c r="C1454" s="3" t="s">
        <v>1075</v>
      </c>
      <c r="D1454" s="3" t="s">
        <v>17</v>
      </c>
      <c r="E1454" s="3" t="s">
        <v>1076</v>
      </c>
      <c r="F1454" s="3" t="s">
        <v>19</v>
      </c>
      <c r="G1454" s="4">
        <v>0</v>
      </c>
      <c r="H1454" s="4">
        <v>1802000</v>
      </c>
      <c r="I1454" s="3" t="s">
        <v>56</v>
      </c>
      <c r="J1454" s="4">
        <v>4</v>
      </c>
      <c r="K1454" s="3" t="s">
        <v>21</v>
      </c>
      <c r="L1454" s="4">
        <v>620000</v>
      </c>
      <c r="M1454" s="1">
        <f>O1454*J1454*K1454</f>
        <v>0</v>
      </c>
      <c r="N1454" s="3"/>
      <c r="O1454" s="2">
        <f>L1454/J1454*(1-K1454)</f>
        <v>155000</v>
      </c>
    </row>
    <row r="1455" ht="14.25">
      <c r="A1455" s="3" t="s">
        <v>1071</v>
      </c>
      <c r="B1455" s="3" t="s">
        <v>1071</v>
      </c>
      <c r="C1455" s="3" t="s">
        <v>1077</v>
      </c>
      <c r="D1455" s="3" t="s">
        <v>17</v>
      </c>
      <c r="E1455" s="3" t="s">
        <v>1078</v>
      </c>
      <c r="F1455" s="3" t="s">
        <v>19</v>
      </c>
      <c r="G1455" s="4">
        <v>0</v>
      </c>
      <c r="H1455" s="4">
        <v>12000000</v>
      </c>
      <c r="I1455" s="3" t="s">
        <v>287</v>
      </c>
      <c r="J1455" s="4">
        <v>100</v>
      </c>
      <c r="K1455" s="3" t="s">
        <v>21</v>
      </c>
      <c r="L1455" s="4">
        <v>12000000</v>
      </c>
      <c r="M1455" s="1">
        <f>O1455*J1455*K1455</f>
        <v>0</v>
      </c>
      <c r="N1455" s="3"/>
      <c r="O1455" s="2">
        <f>L1455/J1455*(1-K1455)</f>
        <v>120000</v>
      </c>
    </row>
    <row r="1456" ht="14.25">
      <c r="A1456" s="3" t="s">
        <v>1071</v>
      </c>
      <c r="B1456" s="3" t="s">
        <v>1071</v>
      </c>
      <c r="C1456" s="3" t="s">
        <v>1079</v>
      </c>
      <c r="D1456" s="3" t="s">
        <v>17</v>
      </c>
      <c r="E1456" s="3" t="s">
        <v>1061</v>
      </c>
      <c r="F1456" s="3" t="s">
        <v>19</v>
      </c>
      <c r="G1456" s="4">
        <v>0</v>
      </c>
      <c r="H1456" s="4">
        <v>964000</v>
      </c>
      <c r="I1456" s="3" t="s">
        <v>319</v>
      </c>
      <c r="J1456" s="4">
        <v>4</v>
      </c>
      <c r="K1456" s="3" t="s">
        <v>21</v>
      </c>
      <c r="L1456" s="4">
        <v>964000</v>
      </c>
      <c r="M1456" s="1">
        <f>O1456*J1456*K1456</f>
        <v>0</v>
      </c>
      <c r="N1456" s="3"/>
      <c r="O1456" s="2">
        <f>L1456/J1456*(1-K1456)</f>
        <v>241000</v>
      </c>
    </row>
    <row r="1457" ht="14.25">
      <c r="A1457" s="3" t="s">
        <v>1071</v>
      </c>
      <c r="B1457" s="3" t="s">
        <v>1071</v>
      </c>
      <c r="C1457" s="3" t="s">
        <v>1080</v>
      </c>
      <c r="D1457" s="3" t="s">
        <v>17</v>
      </c>
      <c r="E1457" s="3" t="s">
        <v>286</v>
      </c>
      <c r="F1457" s="3" t="s">
        <v>19</v>
      </c>
      <c r="G1457" s="4">
        <v>0</v>
      </c>
      <c r="H1457" s="4">
        <v>4200000</v>
      </c>
      <c r="I1457" s="3" t="s">
        <v>1054</v>
      </c>
      <c r="J1457" s="4">
        <v>10</v>
      </c>
      <c r="K1457" s="3" t="s">
        <v>21</v>
      </c>
      <c r="L1457" s="4">
        <v>1200000</v>
      </c>
      <c r="M1457" s="1">
        <f>O1457*J1457*K1457</f>
        <v>0</v>
      </c>
      <c r="N1457" s="3"/>
      <c r="O1457" s="2">
        <f>L1457/J1457*(1-K1457)</f>
        <v>120000</v>
      </c>
    </row>
    <row r="1458" ht="14.25">
      <c r="A1458" s="3" t="s">
        <v>1071</v>
      </c>
      <c r="B1458" s="3" t="s">
        <v>1071</v>
      </c>
      <c r="C1458" s="3" t="s">
        <v>1080</v>
      </c>
      <c r="D1458" s="3" t="s">
        <v>17</v>
      </c>
      <c r="E1458" s="3" t="s">
        <v>286</v>
      </c>
      <c r="F1458" s="3" t="s">
        <v>19</v>
      </c>
      <c r="G1458" s="4">
        <v>0</v>
      </c>
      <c r="H1458" s="4">
        <v>4200000</v>
      </c>
      <c r="I1458" s="3" t="s">
        <v>1053</v>
      </c>
      <c r="J1458" s="4">
        <v>5</v>
      </c>
      <c r="K1458" s="3" t="s">
        <v>21</v>
      </c>
      <c r="L1458" s="4">
        <v>600000</v>
      </c>
      <c r="M1458" s="1">
        <f>O1458*J1458*K1458</f>
        <v>0</v>
      </c>
      <c r="N1458" s="3"/>
      <c r="O1458" s="2">
        <f>L1458/J1458*(1-K1458)</f>
        <v>120000</v>
      </c>
    </row>
    <row r="1459" ht="14.25">
      <c r="A1459" s="3" t="s">
        <v>1071</v>
      </c>
      <c r="B1459" s="3" t="s">
        <v>1071</v>
      </c>
      <c r="C1459" s="3" t="s">
        <v>1080</v>
      </c>
      <c r="D1459" s="3" t="s">
        <v>17</v>
      </c>
      <c r="E1459" s="3" t="s">
        <v>286</v>
      </c>
      <c r="F1459" s="3" t="s">
        <v>19</v>
      </c>
      <c r="G1459" s="4">
        <v>0</v>
      </c>
      <c r="H1459" s="4">
        <v>4200000</v>
      </c>
      <c r="I1459" s="3" t="s">
        <v>287</v>
      </c>
      <c r="J1459" s="4">
        <v>20</v>
      </c>
      <c r="K1459" s="3" t="s">
        <v>21</v>
      </c>
      <c r="L1459" s="4">
        <v>2400000</v>
      </c>
      <c r="M1459" s="1">
        <f>O1459*J1459*K1459</f>
        <v>0</v>
      </c>
      <c r="N1459" s="3"/>
      <c r="O1459" s="2">
        <f>L1459/J1459*(1-K1459)</f>
        <v>120000</v>
      </c>
    </row>
    <row r="1460" ht="14.25">
      <c r="A1460" s="3" t="s">
        <v>1071</v>
      </c>
      <c r="B1460" s="3" t="s">
        <v>1081</v>
      </c>
      <c r="C1460" s="3" t="s">
        <v>1082</v>
      </c>
      <c r="D1460" s="3" t="s">
        <v>17</v>
      </c>
      <c r="E1460" s="3" t="s">
        <v>1083</v>
      </c>
      <c r="F1460" s="3" t="s">
        <v>19</v>
      </c>
      <c r="G1460" s="4">
        <v>0</v>
      </c>
      <c r="H1460" s="4">
        <v>11440000</v>
      </c>
      <c r="I1460" s="3" t="s">
        <v>758</v>
      </c>
      <c r="J1460" s="4">
        <v>1</v>
      </c>
      <c r="K1460" s="3" t="s">
        <v>21</v>
      </c>
      <c r="L1460" s="4">
        <v>3500000</v>
      </c>
      <c r="M1460" s="1">
        <f>O1460*J1460*K1460</f>
        <v>0</v>
      </c>
      <c r="N1460" s="3"/>
      <c r="O1460" s="2">
        <f>L1460/J1460*(1-K1460)</f>
        <v>3500000</v>
      </c>
    </row>
    <row r="1461" ht="14.25">
      <c r="A1461" s="3" t="s">
        <v>1071</v>
      </c>
      <c r="B1461" s="3" t="s">
        <v>1081</v>
      </c>
      <c r="C1461" s="3" t="s">
        <v>1082</v>
      </c>
      <c r="D1461" s="3" t="s">
        <v>17</v>
      </c>
      <c r="E1461" s="3" t="s">
        <v>1083</v>
      </c>
      <c r="F1461" s="3" t="s">
        <v>19</v>
      </c>
      <c r="G1461" s="4">
        <v>0</v>
      </c>
      <c r="H1461" s="4">
        <v>11440000</v>
      </c>
      <c r="I1461" s="3" t="s">
        <v>66</v>
      </c>
      <c r="J1461" s="4">
        <v>4</v>
      </c>
      <c r="K1461" s="3" t="s">
        <v>21</v>
      </c>
      <c r="L1461" s="4">
        <v>1720000</v>
      </c>
      <c r="M1461" s="1">
        <f>O1461*J1461*K1461</f>
        <v>0</v>
      </c>
      <c r="N1461" s="3"/>
      <c r="O1461" s="2">
        <f>L1461/J1461*(1-K1461)</f>
        <v>430000</v>
      </c>
    </row>
    <row r="1462" ht="14.25">
      <c r="A1462" s="3" t="s">
        <v>1071</v>
      </c>
      <c r="B1462" s="3" t="s">
        <v>1081</v>
      </c>
      <c r="C1462" s="3" t="s">
        <v>1082</v>
      </c>
      <c r="D1462" s="3" t="s">
        <v>17</v>
      </c>
      <c r="E1462" s="3" t="s">
        <v>1083</v>
      </c>
      <c r="F1462" s="3" t="s">
        <v>19</v>
      </c>
      <c r="G1462" s="4">
        <v>0</v>
      </c>
      <c r="H1462" s="4">
        <v>11440000</v>
      </c>
      <c r="I1462" s="3" t="s">
        <v>126</v>
      </c>
      <c r="J1462" s="4">
        <v>4</v>
      </c>
      <c r="K1462" s="3" t="s">
        <v>21</v>
      </c>
      <c r="L1462" s="4">
        <v>1000000</v>
      </c>
      <c r="M1462" s="1">
        <f>O1462*J1462*K1462</f>
        <v>0</v>
      </c>
      <c r="N1462" s="3"/>
      <c r="O1462" s="2">
        <f>L1462/J1462*(1-K1462)</f>
        <v>250000</v>
      </c>
    </row>
    <row r="1463" ht="14.25">
      <c r="A1463" s="3" t="s">
        <v>1071</v>
      </c>
      <c r="B1463" s="3" t="s">
        <v>1081</v>
      </c>
      <c r="C1463" s="3" t="s">
        <v>1082</v>
      </c>
      <c r="D1463" s="3" t="s">
        <v>17</v>
      </c>
      <c r="E1463" s="3" t="s">
        <v>1083</v>
      </c>
      <c r="F1463" s="3" t="s">
        <v>19</v>
      </c>
      <c r="G1463" s="4">
        <v>0</v>
      </c>
      <c r="H1463" s="4">
        <v>11440000</v>
      </c>
      <c r="I1463" s="3" t="s">
        <v>56</v>
      </c>
      <c r="J1463" s="4">
        <v>4</v>
      </c>
      <c r="K1463" s="3" t="s">
        <v>21</v>
      </c>
      <c r="L1463" s="4">
        <v>660000</v>
      </c>
      <c r="M1463" s="1">
        <f>O1463*J1463*K1463</f>
        <v>0</v>
      </c>
      <c r="N1463" s="3"/>
      <c r="O1463" s="2">
        <f>L1463/J1463*(1-K1463)</f>
        <v>165000</v>
      </c>
    </row>
    <row r="1464" ht="14.25">
      <c r="A1464" s="3" t="s">
        <v>1071</v>
      </c>
      <c r="B1464" s="3" t="s">
        <v>1081</v>
      </c>
      <c r="C1464" s="3" t="s">
        <v>1082</v>
      </c>
      <c r="D1464" s="3" t="s">
        <v>17</v>
      </c>
      <c r="E1464" s="3" t="s">
        <v>1083</v>
      </c>
      <c r="F1464" s="3" t="s">
        <v>19</v>
      </c>
      <c r="G1464" s="4">
        <v>0</v>
      </c>
      <c r="H1464" s="4">
        <v>11440000</v>
      </c>
      <c r="I1464" s="3" t="s">
        <v>467</v>
      </c>
      <c r="J1464" s="4">
        <v>20</v>
      </c>
      <c r="K1464" s="3" t="s">
        <v>21</v>
      </c>
      <c r="L1464" s="4">
        <v>720000</v>
      </c>
      <c r="M1464" s="1">
        <f>O1464*J1464*K1464</f>
        <v>0</v>
      </c>
      <c r="N1464" s="3"/>
      <c r="O1464" s="2">
        <f>L1464/J1464*(1-K1464)</f>
        <v>36000</v>
      </c>
    </row>
    <row r="1465" ht="14.25">
      <c r="A1465" s="3" t="s">
        <v>1071</v>
      </c>
      <c r="B1465" s="3" t="s">
        <v>1081</v>
      </c>
      <c r="C1465" s="3" t="s">
        <v>1082</v>
      </c>
      <c r="D1465" s="3" t="s">
        <v>17</v>
      </c>
      <c r="E1465" s="3" t="s">
        <v>1083</v>
      </c>
      <c r="F1465" s="3" t="s">
        <v>19</v>
      </c>
      <c r="G1465" s="4">
        <v>0</v>
      </c>
      <c r="H1465" s="4">
        <v>11440000</v>
      </c>
      <c r="I1465" s="3" t="s">
        <v>395</v>
      </c>
      <c r="J1465" s="4">
        <v>6</v>
      </c>
      <c r="K1465" s="3" t="s">
        <v>21</v>
      </c>
      <c r="L1465" s="4">
        <v>840000</v>
      </c>
      <c r="M1465" s="1">
        <f>O1465*J1465*K1465</f>
        <v>0</v>
      </c>
      <c r="N1465" s="3"/>
      <c r="O1465" s="2">
        <f>L1465/J1465*(1-K1465)</f>
        <v>140000</v>
      </c>
    </row>
    <row r="1466" ht="14.25">
      <c r="A1466" s="3" t="s">
        <v>1071</v>
      </c>
      <c r="B1466" s="3" t="s">
        <v>1081</v>
      </c>
      <c r="C1466" s="3" t="s">
        <v>1082</v>
      </c>
      <c r="D1466" s="3" t="s">
        <v>17</v>
      </c>
      <c r="E1466" s="3" t="s">
        <v>1083</v>
      </c>
      <c r="F1466" s="3" t="s">
        <v>19</v>
      </c>
      <c r="G1466" s="4">
        <v>0</v>
      </c>
      <c r="H1466" s="4">
        <v>11440000</v>
      </c>
      <c r="I1466" s="3" t="s">
        <v>29</v>
      </c>
      <c r="J1466" s="4">
        <v>6</v>
      </c>
      <c r="K1466" s="3" t="s">
        <v>21</v>
      </c>
      <c r="L1466" s="4">
        <v>3000000</v>
      </c>
      <c r="M1466" s="1">
        <f>O1466*J1466*K1466</f>
        <v>0</v>
      </c>
      <c r="N1466" s="3"/>
      <c r="O1466" s="2">
        <f>L1466/J1466*(1-K1466)</f>
        <v>500000</v>
      </c>
    </row>
    <row r="1467" ht="14.25">
      <c r="A1467" s="3" t="s">
        <v>1071</v>
      </c>
      <c r="B1467" s="3" t="s">
        <v>1071</v>
      </c>
      <c r="C1467" s="3" t="s">
        <v>1084</v>
      </c>
      <c r="D1467" s="3" t="s">
        <v>17</v>
      </c>
      <c r="E1467" s="3" t="s">
        <v>1085</v>
      </c>
      <c r="F1467" s="3" t="s">
        <v>19</v>
      </c>
      <c r="G1467" s="4">
        <v>0</v>
      </c>
      <c r="H1467" s="4">
        <v>4400000</v>
      </c>
      <c r="I1467" s="3" t="s">
        <v>917</v>
      </c>
      <c r="J1467" s="4">
        <v>1</v>
      </c>
      <c r="K1467" s="3" t="s">
        <v>21</v>
      </c>
      <c r="L1467" s="4">
        <v>4400000</v>
      </c>
      <c r="M1467" s="1">
        <f>O1467*J1467*K1467</f>
        <v>0</v>
      </c>
      <c r="N1467" s="3"/>
      <c r="O1467" s="2">
        <f>L1467/J1467*(1-K1467)</f>
        <v>4400000</v>
      </c>
    </row>
    <row r="1468" ht="14.25">
      <c r="A1468" s="3" t="s">
        <v>1071</v>
      </c>
      <c r="B1468" s="3" t="s">
        <v>1081</v>
      </c>
      <c r="C1468" s="3" t="s">
        <v>1086</v>
      </c>
      <c r="D1468" s="3" t="s">
        <v>17</v>
      </c>
      <c r="E1468" s="3" t="s">
        <v>1087</v>
      </c>
      <c r="F1468" s="3" t="s">
        <v>19</v>
      </c>
      <c r="G1468" s="4">
        <v>0</v>
      </c>
      <c r="H1468" s="4">
        <v>10344000</v>
      </c>
      <c r="I1468" s="3" t="s">
        <v>917</v>
      </c>
      <c r="J1468" s="4">
        <v>1</v>
      </c>
      <c r="K1468" s="3" t="s">
        <v>21</v>
      </c>
      <c r="L1468" s="4">
        <v>4650000</v>
      </c>
      <c r="M1468" s="1">
        <f>O1468*J1468*K1468</f>
        <v>0</v>
      </c>
      <c r="N1468" s="3"/>
      <c r="O1468" s="2">
        <f>L1468/J1468*(1-K1468)</f>
        <v>4650000</v>
      </c>
    </row>
    <row r="1469" ht="14.25">
      <c r="A1469" s="3" t="s">
        <v>1071</v>
      </c>
      <c r="B1469" s="3" t="s">
        <v>1081</v>
      </c>
      <c r="C1469" s="3" t="s">
        <v>1086</v>
      </c>
      <c r="D1469" s="3" t="s">
        <v>17</v>
      </c>
      <c r="E1469" s="3" t="s">
        <v>1087</v>
      </c>
      <c r="F1469" s="3" t="s">
        <v>19</v>
      </c>
      <c r="G1469" s="4">
        <v>0</v>
      </c>
      <c r="H1469" s="4">
        <v>10344000</v>
      </c>
      <c r="I1469" s="3" t="s">
        <v>474</v>
      </c>
      <c r="J1469" s="4">
        <v>4</v>
      </c>
      <c r="K1469" s="3" t="s">
        <v>21</v>
      </c>
      <c r="L1469" s="4">
        <v>1480000</v>
      </c>
      <c r="M1469" s="1">
        <f>O1469*J1469*K1469</f>
        <v>0</v>
      </c>
      <c r="N1469" s="3"/>
      <c r="O1469" s="2">
        <f>L1469/J1469*(1-K1469)</f>
        <v>370000</v>
      </c>
    </row>
    <row r="1470" ht="14.25">
      <c r="A1470" s="3" t="s">
        <v>1071</v>
      </c>
      <c r="B1470" s="3" t="s">
        <v>1081</v>
      </c>
      <c r="C1470" s="3" t="s">
        <v>1086</v>
      </c>
      <c r="D1470" s="3" t="s">
        <v>17</v>
      </c>
      <c r="E1470" s="3" t="s">
        <v>1087</v>
      </c>
      <c r="F1470" s="3" t="s">
        <v>19</v>
      </c>
      <c r="G1470" s="4">
        <v>0</v>
      </c>
      <c r="H1470" s="4">
        <v>10344000</v>
      </c>
      <c r="I1470" s="3" t="s">
        <v>475</v>
      </c>
      <c r="J1470" s="4">
        <v>20</v>
      </c>
      <c r="K1470" s="3" t="s">
        <v>21</v>
      </c>
      <c r="L1470" s="4">
        <v>800000</v>
      </c>
      <c r="M1470" s="1">
        <f>O1470*J1470*K1470</f>
        <v>0</v>
      </c>
      <c r="N1470" s="3"/>
      <c r="O1470" s="2">
        <f>L1470/J1470*(1-K1470)</f>
        <v>40000</v>
      </c>
    </row>
    <row r="1471" ht="14.25">
      <c r="A1471" s="3" t="s">
        <v>1071</v>
      </c>
      <c r="B1471" s="3" t="s">
        <v>1081</v>
      </c>
      <c r="C1471" s="3" t="s">
        <v>1086</v>
      </c>
      <c r="D1471" s="3" t="s">
        <v>17</v>
      </c>
      <c r="E1471" s="3" t="s">
        <v>1087</v>
      </c>
      <c r="F1471" s="3" t="s">
        <v>19</v>
      </c>
      <c r="G1471" s="4">
        <v>0</v>
      </c>
      <c r="H1471" s="4">
        <v>10344000</v>
      </c>
      <c r="I1471" s="3" t="s">
        <v>504</v>
      </c>
      <c r="J1471" s="4">
        <v>6</v>
      </c>
      <c r="K1471" s="3" t="s">
        <v>21</v>
      </c>
      <c r="L1471" s="4">
        <v>930000</v>
      </c>
      <c r="M1471" s="1">
        <f>O1471*J1471*K1471</f>
        <v>0</v>
      </c>
      <c r="N1471" s="3"/>
      <c r="O1471" s="2">
        <f>L1471/J1471*(1-K1471)</f>
        <v>155000</v>
      </c>
    </row>
    <row r="1472" ht="14.25">
      <c r="A1472" s="3" t="s">
        <v>1071</v>
      </c>
      <c r="B1472" s="3" t="s">
        <v>1081</v>
      </c>
      <c r="C1472" s="3" t="s">
        <v>1086</v>
      </c>
      <c r="D1472" s="3" t="s">
        <v>17</v>
      </c>
      <c r="E1472" s="3" t="s">
        <v>1087</v>
      </c>
      <c r="F1472" s="3" t="s">
        <v>19</v>
      </c>
      <c r="G1472" s="4">
        <v>0</v>
      </c>
      <c r="H1472" s="4">
        <v>10344000</v>
      </c>
      <c r="I1472" s="3" t="s">
        <v>399</v>
      </c>
      <c r="J1472" s="4">
        <v>2</v>
      </c>
      <c r="K1472" s="3" t="s">
        <v>21</v>
      </c>
      <c r="L1472" s="4">
        <v>680000</v>
      </c>
      <c r="M1472" s="1">
        <f>O1472*J1472*K1472</f>
        <v>0</v>
      </c>
      <c r="N1472" s="3"/>
      <c r="O1472" s="2">
        <f>L1472/J1472*(1-K1472)</f>
        <v>340000</v>
      </c>
    </row>
    <row r="1473" ht="14.25">
      <c r="A1473" s="3" t="s">
        <v>1071</v>
      </c>
      <c r="B1473" s="3" t="s">
        <v>1081</v>
      </c>
      <c r="C1473" s="3" t="s">
        <v>1086</v>
      </c>
      <c r="D1473" s="3" t="s">
        <v>17</v>
      </c>
      <c r="E1473" s="3" t="s">
        <v>1087</v>
      </c>
      <c r="F1473" s="3" t="s">
        <v>19</v>
      </c>
      <c r="G1473" s="4">
        <v>0</v>
      </c>
      <c r="H1473" s="4">
        <v>10344000</v>
      </c>
      <c r="I1473" s="3" t="s">
        <v>467</v>
      </c>
      <c r="J1473" s="4">
        <v>20</v>
      </c>
      <c r="K1473" s="3" t="s">
        <v>21</v>
      </c>
      <c r="L1473" s="4">
        <v>700000</v>
      </c>
      <c r="M1473" s="1">
        <f>O1473*J1473*K1473</f>
        <v>0</v>
      </c>
      <c r="N1473" s="3"/>
      <c r="O1473" s="2">
        <f>L1473/J1473*(1-K1473)</f>
        <v>35000</v>
      </c>
    </row>
    <row r="1474" ht="14.25">
      <c r="A1474" s="3" t="s">
        <v>1071</v>
      </c>
      <c r="B1474" s="3" t="s">
        <v>1081</v>
      </c>
      <c r="C1474" s="3" t="s">
        <v>1086</v>
      </c>
      <c r="D1474" s="3" t="s">
        <v>17</v>
      </c>
      <c r="E1474" s="3" t="s">
        <v>1087</v>
      </c>
      <c r="F1474" s="3" t="s">
        <v>19</v>
      </c>
      <c r="G1474" s="4">
        <v>0</v>
      </c>
      <c r="H1474" s="4">
        <v>10344000</v>
      </c>
      <c r="I1474" s="3" t="s">
        <v>483</v>
      </c>
      <c r="J1474" s="4">
        <v>12</v>
      </c>
      <c r="K1474" s="3" t="s">
        <v>21</v>
      </c>
      <c r="L1474" s="4">
        <v>456000</v>
      </c>
      <c r="M1474" s="1">
        <f>O1474*J1474*K1474</f>
        <v>0</v>
      </c>
      <c r="N1474" s="3"/>
      <c r="O1474" s="2">
        <f>L1474/J1474*(1-K1474)</f>
        <v>38000</v>
      </c>
    </row>
    <row r="1475" ht="14.25">
      <c r="A1475" s="3" t="s">
        <v>1071</v>
      </c>
      <c r="B1475" s="3" t="s">
        <v>1081</v>
      </c>
      <c r="C1475" s="3" t="s">
        <v>1086</v>
      </c>
      <c r="D1475" s="3" t="s">
        <v>17</v>
      </c>
      <c r="E1475" s="3" t="s">
        <v>1087</v>
      </c>
      <c r="F1475" s="3" t="s">
        <v>19</v>
      </c>
      <c r="G1475" s="4">
        <v>0</v>
      </c>
      <c r="H1475" s="4">
        <v>10344000</v>
      </c>
      <c r="I1475" s="3" t="s">
        <v>108</v>
      </c>
      <c r="J1475" s="4">
        <v>24</v>
      </c>
      <c r="K1475" s="3" t="s">
        <v>21</v>
      </c>
      <c r="L1475" s="4">
        <v>648000</v>
      </c>
      <c r="M1475" s="1">
        <f>O1475*J1475*K1475</f>
        <v>0</v>
      </c>
      <c r="N1475" s="3"/>
      <c r="O1475" s="2">
        <f>L1475/J1475*(1-K1475)</f>
        <v>27000</v>
      </c>
    </row>
    <row r="1476" ht="14.25">
      <c r="A1476" s="3" t="s">
        <v>1071</v>
      </c>
      <c r="B1476" s="3" t="s">
        <v>1071</v>
      </c>
      <c r="C1476" s="3" t="s">
        <v>1088</v>
      </c>
      <c r="D1476" s="3" t="s">
        <v>17</v>
      </c>
      <c r="E1476" s="3" t="s">
        <v>53</v>
      </c>
      <c r="F1476" s="3" t="s">
        <v>19</v>
      </c>
      <c r="G1476" s="4">
        <v>0</v>
      </c>
      <c r="H1476" s="4">
        <v>5677918</v>
      </c>
      <c r="I1476" s="3" t="s">
        <v>615</v>
      </c>
      <c r="J1476" s="4">
        <v>1</v>
      </c>
      <c r="K1476" s="3" t="s">
        <v>21</v>
      </c>
      <c r="L1476" s="4">
        <v>1178750</v>
      </c>
      <c r="M1476" s="1">
        <f>O1476*J1476*K1476</f>
        <v>0</v>
      </c>
      <c r="N1476" s="3"/>
      <c r="O1476" s="2">
        <f>L1476/J1476*(1-K1476)</f>
        <v>1178750</v>
      </c>
    </row>
    <row r="1477" ht="14.25">
      <c r="A1477" s="3" t="s">
        <v>1071</v>
      </c>
      <c r="B1477" s="3" t="s">
        <v>1071</v>
      </c>
      <c r="C1477" s="3" t="s">
        <v>1088</v>
      </c>
      <c r="D1477" s="3" t="s">
        <v>17</v>
      </c>
      <c r="E1477" s="3" t="s">
        <v>53</v>
      </c>
      <c r="F1477" s="3" t="s">
        <v>19</v>
      </c>
      <c r="G1477" s="4">
        <v>0</v>
      </c>
      <c r="H1477" s="4">
        <v>5677918</v>
      </c>
      <c r="I1477" s="3" t="s">
        <v>137</v>
      </c>
      <c r="J1477" s="4">
        <v>20</v>
      </c>
      <c r="K1477" s="3" t="s">
        <v>21</v>
      </c>
      <c r="L1477" s="4">
        <v>837120</v>
      </c>
      <c r="M1477" s="1">
        <f>O1477*J1477*K1477</f>
        <v>0</v>
      </c>
      <c r="N1477" s="3"/>
      <c r="O1477" s="2">
        <f>L1477/J1477*(1-K1477)</f>
        <v>41856</v>
      </c>
    </row>
    <row r="1478" ht="14.25">
      <c r="A1478" s="3" t="s">
        <v>1071</v>
      </c>
      <c r="B1478" s="3" t="s">
        <v>1071</v>
      </c>
      <c r="C1478" s="3" t="s">
        <v>1088</v>
      </c>
      <c r="D1478" s="3" t="s">
        <v>17</v>
      </c>
      <c r="E1478" s="3" t="s">
        <v>53</v>
      </c>
      <c r="F1478" s="3" t="s">
        <v>19</v>
      </c>
      <c r="G1478" s="4">
        <v>0</v>
      </c>
      <c r="H1478" s="4">
        <v>5677918</v>
      </c>
      <c r="I1478" s="3" t="s">
        <v>1089</v>
      </c>
      <c r="J1478" s="4">
        <v>6</v>
      </c>
      <c r="K1478" s="3" t="s">
        <v>21</v>
      </c>
      <c r="L1478" s="4">
        <v>1122048</v>
      </c>
      <c r="M1478" s="1">
        <f>O1478*J1478*K1478</f>
        <v>0</v>
      </c>
      <c r="N1478" s="3"/>
      <c r="O1478" s="2">
        <f>L1478/J1478*(1-K1478)</f>
        <v>187008</v>
      </c>
    </row>
    <row r="1479" ht="14.25">
      <c r="A1479" s="3" t="s">
        <v>1071</v>
      </c>
      <c r="B1479" s="3" t="s">
        <v>1071</v>
      </c>
      <c r="C1479" s="3" t="s">
        <v>1088</v>
      </c>
      <c r="D1479" s="3" t="s">
        <v>17</v>
      </c>
      <c r="E1479" s="3" t="s">
        <v>53</v>
      </c>
      <c r="F1479" s="3" t="s">
        <v>19</v>
      </c>
      <c r="G1479" s="4">
        <v>0</v>
      </c>
      <c r="H1479" s="4">
        <v>5677918</v>
      </c>
      <c r="I1479" s="3" t="s">
        <v>817</v>
      </c>
      <c r="J1479" s="4">
        <v>4</v>
      </c>
      <c r="K1479" s="3" t="s">
        <v>21</v>
      </c>
      <c r="L1479" s="4">
        <v>720000</v>
      </c>
      <c r="M1479" s="1">
        <f>O1479*J1479*K1479</f>
        <v>0</v>
      </c>
      <c r="N1479" s="3"/>
      <c r="O1479" s="2">
        <f>L1479/J1479*(1-K1479)</f>
        <v>180000</v>
      </c>
    </row>
    <row r="1480" ht="14.25">
      <c r="A1480" s="3" t="s">
        <v>1071</v>
      </c>
      <c r="B1480" s="3" t="s">
        <v>1071</v>
      </c>
      <c r="C1480" s="3" t="s">
        <v>1088</v>
      </c>
      <c r="D1480" s="3" t="s">
        <v>17</v>
      </c>
      <c r="E1480" s="3" t="s">
        <v>53</v>
      </c>
      <c r="F1480" s="3" t="s">
        <v>19</v>
      </c>
      <c r="G1480" s="4">
        <v>0</v>
      </c>
      <c r="H1480" s="4">
        <v>5677918</v>
      </c>
      <c r="I1480" s="3" t="s">
        <v>606</v>
      </c>
      <c r="J1480" s="4">
        <v>6</v>
      </c>
      <c r="K1480" s="3" t="s">
        <v>21</v>
      </c>
      <c r="L1480" s="4">
        <v>750000</v>
      </c>
      <c r="M1480" s="1">
        <f>O1480*J1480*K1480</f>
        <v>0</v>
      </c>
      <c r="N1480" s="3"/>
      <c r="O1480" s="2">
        <f>L1480/J1480*(1-K1480)</f>
        <v>125000</v>
      </c>
    </row>
    <row r="1481" ht="14.25">
      <c r="A1481" s="3" t="s">
        <v>1071</v>
      </c>
      <c r="B1481" s="3" t="s">
        <v>1071</v>
      </c>
      <c r="C1481" s="3" t="s">
        <v>1088</v>
      </c>
      <c r="D1481" s="3" t="s">
        <v>17</v>
      </c>
      <c r="E1481" s="3" t="s">
        <v>53</v>
      </c>
      <c r="F1481" s="3" t="s">
        <v>19</v>
      </c>
      <c r="G1481" s="4">
        <v>0</v>
      </c>
      <c r="H1481" s="4">
        <v>5677918</v>
      </c>
      <c r="I1481" s="3" t="s">
        <v>605</v>
      </c>
      <c r="J1481" s="4">
        <v>4</v>
      </c>
      <c r="K1481" s="3" t="s">
        <v>21</v>
      </c>
      <c r="L1481" s="4">
        <v>600000</v>
      </c>
      <c r="M1481" s="1">
        <f>O1481*J1481*K1481</f>
        <v>0</v>
      </c>
      <c r="N1481" s="3"/>
      <c r="O1481" s="2">
        <f>L1481/J1481*(1-K1481)</f>
        <v>150000</v>
      </c>
    </row>
    <row r="1482" ht="14.25">
      <c r="A1482" s="3" t="s">
        <v>1071</v>
      </c>
      <c r="B1482" s="3" t="s">
        <v>1071</v>
      </c>
      <c r="C1482" s="3" t="s">
        <v>1088</v>
      </c>
      <c r="D1482" s="3" t="s">
        <v>17</v>
      </c>
      <c r="E1482" s="3" t="s">
        <v>53</v>
      </c>
      <c r="F1482" s="3" t="s">
        <v>19</v>
      </c>
      <c r="G1482" s="4">
        <v>0</v>
      </c>
      <c r="H1482" s="4">
        <v>5677918</v>
      </c>
      <c r="I1482" s="3" t="s">
        <v>318</v>
      </c>
      <c r="J1482" s="4">
        <v>1</v>
      </c>
      <c r="K1482" s="3" t="s">
        <v>21</v>
      </c>
      <c r="L1482" s="4">
        <v>245000</v>
      </c>
      <c r="M1482" s="1">
        <f>O1482*J1482*K1482</f>
        <v>0</v>
      </c>
      <c r="N1482" s="3"/>
      <c r="O1482" s="2">
        <f>L1482/J1482*(1-K1482)</f>
        <v>245000</v>
      </c>
    </row>
    <row r="1483" ht="14.25">
      <c r="A1483" s="3" t="s">
        <v>1071</v>
      </c>
      <c r="B1483" s="3" t="s">
        <v>1071</v>
      </c>
      <c r="C1483" s="3" t="s">
        <v>1088</v>
      </c>
      <c r="D1483" s="3" t="s">
        <v>17</v>
      </c>
      <c r="E1483" s="3" t="s">
        <v>53</v>
      </c>
      <c r="F1483" s="3" t="s">
        <v>19</v>
      </c>
      <c r="G1483" s="4">
        <v>0</v>
      </c>
      <c r="H1483" s="4">
        <v>5677918</v>
      </c>
      <c r="I1483" s="3" t="s">
        <v>589</v>
      </c>
      <c r="J1483" s="4">
        <v>1</v>
      </c>
      <c r="K1483" s="3" t="s">
        <v>21</v>
      </c>
      <c r="L1483" s="4">
        <v>225000</v>
      </c>
      <c r="M1483" s="1">
        <f>O1483*J1483*K1483</f>
        <v>0</v>
      </c>
      <c r="N1483" s="3"/>
      <c r="O1483" s="2">
        <f>L1483/J1483*(1-K1483)</f>
        <v>225000</v>
      </c>
    </row>
    <row r="1484" ht="14.25">
      <c r="A1484" s="3" t="s">
        <v>1071</v>
      </c>
      <c r="B1484" s="3" t="s">
        <v>1071</v>
      </c>
      <c r="C1484" s="3" t="s">
        <v>1090</v>
      </c>
      <c r="D1484" s="3" t="s">
        <v>17</v>
      </c>
      <c r="E1484" s="3" t="s">
        <v>263</v>
      </c>
      <c r="F1484" s="3" t="s">
        <v>19</v>
      </c>
      <c r="G1484" s="4">
        <v>0</v>
      </c>
      <c r="H1484" s="4">
        <v>6062740</v>
      </c>
      <c r="I1484" s="3" t="s">
        <v>1091</v>
      </c>
      <c r="J1484" s="4">
        <v>24</v>
      </c>
      <c r="K1484" s="3" t="s">
        <v>21</v>
      </c>
      <c r="L1484" s="4">
        <v>276000</v>
      </c>
      <c r="M1484" s="1">
        <f>O1484*J1484*K1484</f>
        <v>0</v>
      </c>
      <c r="N1484" s="3"/>
      <c r="O1484" s="2">
        <f>L1484/J1484*(1-K1484)</f>
        <v>11500</v>
      </c>
    </row>
    <row r="1485" ht="14.25">
      <c r="A1485" s="3" t="s">
        <v>1071</v>
      </c>
      <c r="B1485" s="3" t="s">
        <v>1071</v>
      </c>
      <c r="C1485" s="3" t="s">
        <v>1090</v>
      </c>
      <c r="D1485" s="3" t="s">
        <v>17</v>
      </c>
      <c r="E1485" s="3" t="s">
        <v>263</v>
      </c>
      <c r="F1485" s="3" t="s">
        <v>19</v>
      </c>
      <c r="G1485" s="4">
        <v>0</v>
      </c>
      <c r="H1485" s="4">
        <v>6062740</v>
      </c>
      <c r="I1485" s="3" t="s">
        <v>67</v>
      </c>
      <c r="J1485" s="4">
        <v>6</v>
      </c>
      <c r="K1485" s="3" t="s">
        <v>21</v>
      </c>
      <c r="L1485" s="4">
        <v>2191140</v>
      </c>
      <c r="M1485" s="1">
        <f>O1485*J1485*K1485</f>
        <v>0</v>
      </c>
      <c r="N1485" s="3"/>
      <c r="O1485" s="2">
        <f>L1485/J1485*(1-K1485)</f>
        <v>365190</v>
      </c>
    </row>
    <row r="1486" ht="14.25">
      <c r="A1486" s="3" t="s">
        <v>1071</v>
      </c>
      <c r="B1486" s="3" t="s">
        <v>1071</v>
      </c>
      <c r="C1486" s="3" t="s">
        <v>1090</v>
      </c>
      <c r="D1486" s="3" t="s">
        <v>17</v>
      </c>
      <c r="E1486" s="3" t="s">
        <v>263</v>
      </c>
      <c r="F1486" s="3" t="s">
        <v>19</v>
      </c>
      <c r="G1486" s="4">
        <v>0</v>
      </c>
      <c r="H1486" s="4">
        <v>6062740</v>
      </c>
      <c r="I1486" s="3" t="s">
        <v>68</v>
      </c>
      <c r="J1486" s="4">
        <v>40</v>
      </c>
      <c r="K1486" s="3" t="s">
        <v>21</v>
      </c>
      <c r="L1486" s="4">
        <v>1635600</v>
      </c>
      <c r="M1486" s="1">
        <f>O1486*J1486*K1486</f>
        <v>0</v>
      </c>
      <c r="N1486" s="3"/>
      <c r="O1486" s="2">
        <f>L1486/J1486*(1-K1486)</f>
        <v>40890</v>
      </c>
    </row>
    <row r="1487" ht="14.25">
      <c r="A1487" s="3" t="s">
        <v>1071</v>
      </c>
      <c r="B1487" s="3" t="s">
        <v>1071</v>
      </c>
      <c r="C1487" s="3" t="s">
        <v>1090</v>
      </c>
      <c r="D1487" s="3" t="s">
        <v>17</v>
      </c>
      <c r="E1487" s="3" t="s">
        <v>263</v>
      </c>
      <c r="F1487" s="3" t="s">
        <v>19</v>
      </c>
      <c r="G1487" s="4">
        <v>0</v>
      </c>
      <c r="H1487" s="4">
        <v>6062740</v>
      </c>
      <c r="I1487" s="3" t="s">
        <v>29</v>
      </c>
      <c r="J1487" s="4">
        <v>4</v>
      </c>
      <c r="K1487" s="3" t="s">
        <v>21</v>
      </c>
      <c r="L1487" s="4">
        <v>1960000</v>
      </c>
      <c r="M1487" s="1">
        <f>O1487*J1487*K1487</f>
        <v>0</v>
      </c>
      <c r="N1487" s="3"/>
      <c r="O1487" s="2">
        <f>L1487/J1487*(1-K1487)</f>
        <v>490000</v>
      </c>
    </row>
    <row r="1488" ht="14.25">
      <c r="A1488" s="3" t="s">
        <v>1071</v>
      </c>
      <c r="B1488" s="3" t="s">
        <v>1081</v>
      </c>
      <c r="C1488" s="3" t="s">
        <v>1092</v>
      </c>
      <c r="D1488" s="3" t="s">
        <v>17</v>
      </c>
      <c r="E1488" s="3" t="s">
        <v>34</v>
      </c>
      <c r="F1488" s="3" t="s">
        <v>19</v>
      </c>
      <c r="G1488" s="4">
        <v>0</v>
      </c>
      <c r="H1488" s="4">
        <v>12670000</v>
      </c>
      <c r="I1488" s="3" t="s">
        <v>600</v>
      </c>
      <c r="J1488" s="4">
        <v>10</v>
      </c>
      <c r="K1488" s="3" t="s">
        <v>21</v>
      </c>
      <c r="L1488" s="4">
        <v>3750000</v>
      </c>
      <c r="M1488" s="1">
        <f>O1488*J1488*K1488</f>
        <v>0</v>
      </c>
      <c r="N1488" s="3"/>
      <c r="O1488" s="2">
        <f>L1488/J1488*(1-K1488)</f>
        <v>375000</v>
      </c>
    </row>
    <row r="1489" ht="14.25">
      <c r="A1489" s="3" t="s">
        <v>1071</v>
      </c>
      <c r="B1489" s="3" t="s">
        <v>1081</v>
      </c>
      <c r="C1489" s="3" t="s">
        <v>1092</v>
      </c>
      <c r="D1489" s="3" t="s">
        <v>17</v>
      </c>
      <c r="E1489" s="3" t="s">
        <v>34</v>
      </c>
      <c r="F1489" s="3" t="s">
        <v>19</v>
      </c>
      <c r="G1489" s="4">
        <v>0</v>
      </c>
      <c r="H1489" s="4">
        <v>12670000</v>
      </c>
      <c r="I1489" s="3" t="s">
        <v>661</v>
      </c>
      <c r="J1489" s="4">
        <v>1</v>
      </c>
      <c r="K1489" s="3" t="s">
        <v>21</v>
      </c>
      <c r="L1489" s="4">
        <v>375000</v>
      </c>
      <c r="M1489" s="1">
        <f>O1489*J1489*K1489</f>
        <v>0</v>
      </c>
      <c r="N1489" s="3"/>
      <c r="O1489" s="2">
        <f>L1489/J1489*(1-K1489)</f>
        <v>375000</v>
      </c>
    </row>
    <row r="1490" ht="14.25">
      <c r="A1490" s="3" t="s">
        <v>1071</v>
      </c>
      <c r="B1490" s="3" t="s">
        <v>1081</v>
      </c>
      <c r="C1490" s="3" t="s">
        <v>1092</v>
      </c>
      <c r="D1490" s="3" t="s">
        <v>17</v>
      </c>
      <c r="E1490" s="3" t="s">
        <v>34</v>
      </c>
      <c r="F1490" s="3" t="s">
        <v>19</v>
      </c>
      <c r="G1490" s="4">
        <v>0</v>
      </c>
      <c r="H1490" s="4">
        <v>12670000</v>
      </c>
      <c r="I1490" s="3" t="s">
        <v>831</v>
      </c>
      <c r="J1490" s="4">
        <v>5</v>
      </c>
      <c r="K1490" s="3" t="s">
        <v>21</v>
      </c>
      <c r="L1490" s="4">
        <v>1700000</v>
      </c>
      <c r="M1490" s="1">
        <f>O1490*J1490*K1490</f>
        <v>0</v>
      </c>
      <c r="N1490" s="3"/>
      <c r="O1490" s="2">
        <f>L1490/J1490*(1-K1490)</f>
        <v>340000</v>
      </c>
    </row>
    <row r="1491" ht="14.25">
      <c r="A1491" s="3" t="s">
        <v>1071</v>
      </c>
      <c r="B1491" s="3" t="s">
        <v>1081</v>
      </c>
      <c r="C1491" s="3" t="s">
        <v>1092</v>
      </c>
      <c r="D1491" s="3" t="s">
        <v>17</v>
      </c>
      <c r="E1491" s="3" t="s">
        <v>34</v>
      </c>
      <c r="F1491" s="3" t="s">
        <v>19</v>
      </c>
      <c r="G1491" s="4">
        <v>0</v>
      </c>
      <c r="H1491" s="4">
        <v>12670000</v>
      </c>
      <c r="I1491" s="3" t="s">
        <v>591</v>
      </c>
      <c r="J1491" s="4">
        <v>1</v>
      </c>
      <c r="K1491" s="3" t="s">
        <v>21</v>
      </c>
      <c r="L1491" s="4">
        <v>245000</v>
      </c>
      <c r="M1491" s="1">
        <f>O1491*J1491*K1491</f>
        <v>0</v>
      </c>
      <c r="N1491" s="3"/>
      <c r="O1491" s="2">
        <f>L1491/J1491*(1-K1491)</f>
        <v>245000</v>
      </c>
    </row>
    <row r="1492" ht="14.25">
      <c r="A1492" s="3" t="s">
        <v>1071</v>
      </c>
      <c r="B1492" s="3" t="s">
        <v>1081</v>
      </c>
      <c r="C1492" s="3" t="s">
        <v>1092</v>
      </c>
      <c r="D1492" s="3" t="s">
        <v>17</v>
      </c>
      <c r="E1492" s="3" t="s">
        <v>34</v>
      </c>
      <c r="F1492" s="3" t="s">
        <v>19</v>
      </c>
      <c r="G1492" s="4">
        <v>0</v>
      </c>
      <c r="H1492" s="4">
        <v>12670000</v>
      </c>
      <c r="I1492" s="3" t="s">
        <v>39</v>
      </c>
      <c r="J1492" s="4">
        <v>2</v>
      </c>
      <c r="K1492" s="3" t="s">
        <v>21</v>
      </c>
      <c r="L1492" s="4">
        <v>6600000</v>
      </c>
      <c r="M1492" s="1">
        <f>O1492*J1492*K1492</f>
        <v>0</v>
      </c>
      <c r="N1492" s="3"/>
      <c r="O1492" s="2">
        <f>L1492/J1492*(1-K1492)</f>
        <v>3300000</v>
      </c>
    </row>
    <row r="1493" ht="14.25">
      <c r="A1493" s="3" t="s">
        <v>705</v>
      </c>
      <c r="B1493" s="3" t="s">
        <v>705</v>
      </c>
      <c r="C1493" s="3" t="s">
        <v>1093</v>
      </c>
      <c r="D1493" s="3" t="s">
        <v>17</v>
      </c>
      <c r="E1493" s="3" t="s">
        <v>230</v>
      </c>
      <c r="F1493" s="3" t="s">
        <v>19</v>
      </c>
      <c r="G1493" s="4">
        <v>0</v>
      </c>
      <c r="H1493" s="4">
        <v>0</v>
      </c>
      <c r="I1493" s="3" t="s">
        <v>295</v>
      </c>
      <c r="J1493" s="4">
        <v>1</v>
      </c>
      <c r="K1493" s="3" t="s">
        <v>21</v>
      </c>
      <c r="L1493" s="4">
        <v>0</v>
      </c>
      <c r="M1493" s="1">
        <f>O1493*J1493*K1493</f>
        <v>0</v>
      </c>
      <c r="N1493" s="3"/>
      <c r="O1493" s="2">
        <f>L1493/J1493*(1-K1493)</f>
        <v>0</v>
      </c>
    </row>
    <row r="1494" ht="14.25">
      <c r="A1494" s="3" t="s">
        <v>705</v>
      </c>
      <c r="B1494" s="3" t="s">
        <v>705</v>
      </c>
      <c r="C1494" s="3" t="s">
        <v>1094</v>
      </c>
      <c r="D1494" s="3" t="s">
        <v>17</v>
      </c>
      <c r="E1494" s="3" t="s">
        <v>933</v>
      </c>
      <c r="F1494" s="3" t="s">
        <v>19</v>
      </c>
      <c r="G1494" s="4">
        <v>0</v>
      </c>
      <c r="H1494" s="4">
        <v>609300</v>
      </c>
      <c r="I1494" s="3" t="s">
        <v>291</v>
      </c>
      <c r="J1494" s="4">
        <v>1</v>
      </c>
      <c r="K1494" s="3" t="s">
        <v>21</v>
      </c>
      <c r="L1494" s="4">
        <v>609300</v>
      </c>
      <c r="M1494" s="1">
        <f>O1494*J1494*K1494</f>
        <v>0</v>
      </c>
      <c r="N1494" s="3"/>
      <c r="O1494" s="2">
        <f>L1494/J1494*(1-K1494)</f>
        <v>609300</v>
      </c>
    </row>
    <row r="1495" ht="14.25">
      <c r="A1495" s="3" t="s">
        <v>705</v>
      </c>
      <c r="B1495" s="3" t="s">
        <v>705</v>
      </c>
      <c r="C1495" s="3" t="s">
        <v>1095</v>
      </c>
      <c r="D1495" s="3" t="s">
        <v>17</v>
      </c>
      <c r="E1495" s="3" t="s">
        <v>34</v>
      </c>
      <c r="F1495" s="3" t="s">
        <v>19</v>
      </c>
      <c r="G1495" s="4">
        <v>0</v>
      </c>
      <c r="H1495" s="4">
        <v>12600000</v>
      </c>
      <c r="I1495" s="3" t="s">
        <v>395</v>
      </c>
      <c r="J1495" s="4">
        <v>6</v>
      </c>
      <c r="K1495" s="3" t="s">
        <v>21</v>
      </c>
      <c r="L1495" s="4">
        <v>750000</v>
      </c>
      <c r="M1495" s="1">
        <f>O1495*J1495*K1495</f>
        <v>0</v>
      </c>
      <c r="N1495" s="3"/>
      <c r="O1495" s="2">
        <f>L1495/J1495*(1-K1495)</f>
        <v>125000</v>
      </c>
    </row>
    <row r="1496" ht="14.25">
      <c r="A1496" s="3" t="s">
        <v>705</v>
      </c>
      <c r="B1496" s="3" t="s">
        <v>705</v>
      </c>
      <c r="C1496" s="3" t="s">
        <v>1095</v>
      </c>
      <c r="D1496" s="3" t="s">
        <v>17</v>
      </c>
      <c r="E1496" s="3" t="s">
        <v>34</v>
      </c>
      <c r="F1496" s="3" t="s">
        <v>19</v>
      </c>
      <c r="G1496" s="4">
        <v>0</v>
      </c>
      <c r="H1496" s="4">
        <v>12600000</v>
      </c>
      <c r="I1496" s="3" t="s">
        <v>417</v>
      </c>
      <c r="J1496" s="4">
        <v>4</v>
      </c>
      <c r="K1496" s="3" t="s">
        <v>21</v>
      </c>
      <c r="L1496" s="4">
        <v>650000</v>
      </c>
      <c r="M1496" s="1">
        <f>O1496*J1496*K1496</f>
        <v>0</v>
      </c>
      <c r="N1496" s="3"/>
      <c r="O1496" s="2">
        <f>L1496/J1496*(1-K1496)</f>
        <v>162500</v>
      </c>
    </row>
    <row r="1497" ht="14.25">
      <c r="A1497" s="3" t="s">
        <v>705</v>
      </c>
      <c r="B1497" s="3" t="s">
        <v>705</v>
      </c>
      <c r="C1497" s="3" t="s">
        <v>1095</v>
      </c>
      <c r="D1497" s="3" t="s">
        <v>17</v>
      </c>
      <c r="E1497" s="3" t="s">
        <v>34</v>
      </c>
      <c r="F1497" s="3" t="s">
        <v>19</v>
      </c>
      <c r="G1497" s="4">
        <v>0</v>
      </c>
      <c r="H1497" s="4">
        <v>12600000</v>
      </c>
      <c r="I1497" s="3" t="s">
        <v>504</v>
      </c>
      <c r="J1497" s="4">
        <v>6</v>
      </c>
      <c r="K1497" s="3" t="s">
        <v>21</v>
      </c>
      <c r="L1497" s="4">
        <v>798000</v>
      </c>
      <c r="M1497" s="1">
        <f>O1497*J1497*K1497</f>
        <v>0</v>
      </c>
      <c r="N1497" s="3"/>
      <c r="O1497" s="2">
        <f>L1497/J1497*(1-K1497)</f>
        <v>133000</v>
      </c>
    </row>
    <row r="1498" ht="14.25">
      <c r="A1498" s="3" t="s">
        <v>705</v>
      </c>
      <c r="B1498" s="3" t="s">
        <v>705</v>
      </c>
      <c r="C1498" s="3" t="s">
        <v>1095</v>
      </c>
      <c r="D1498" s="3" t="s">
        <v>17</v>
      </c>
      <c r="E1498" s="3" t="s">
        <v>34</v>
      </c>
      <c r="F1498" s="3" t="s">
        <v>19</v>
      </c>
      <c r="G1498" s="4">
        <v>0</v>
      </c>
      <c r="H1498" s="4">
        <v>12600000</v>
      </c>
      <c r="I1498" s="3" t="s">
        <v>56</v>
      </c>
      <c r="J1498" s="4">
        <v>4</v>
      </c>
      <c r="K1498" s="3" t="s">
        <v>21</v>
      </c>
      <c r="L1498" s="4">
        <v>620000</v>
      </c>
      <c r="M1498" s="1">
        <f>O1498*J1498*K1498</f>
        <v>0</v>
      </c>
      <c r="N1498" s="3"/>
      <c r="O1498" s="2">
        <f>L1498/J1498*(1-K1498)</f>
        <v>155000</v>
      </c>
    </row>
    <row r="1499" ht="14.25">
      <c r="A1499" s="3" t="s">
        <v>705</v>
      </c>
      <c r="B1499" s="3" t="s">
        <v>705</v>
      </c>
      <c r="C1499" s="3" t="s">
        <v>1095</v>
      </c>
      <c r="D1499" s="3" t="s">
        <v>17</v>
      </c>
      <c r="E1499" s="3" t="s">
        <v>34</v>
      </c>
      <c r="F1499" s="3" t="s">
        <v>19</v>
      </c>
      <c r="G1499" s="4">
        <v>0</v>
      </c>
      <c r="H1499" s="4">
        <v>12600000</v>
      </c>
      <c r="I1499" s="3" t="s">
        <v>415</v>
      </c>
      <c r="J1499" s="4">
        <v>12</v>
      </c>
      <c r="K1499" s="3" t="s">
        <v>21</v>
      </c>
      <c r="L1499" s="4">
        <v>432000</v>
      </c>
      <c r="M1499" s="1">
        <f>O1499*J1499*K1499</f>
        <v>0</v>
      </c>
      <c r="N1499" s="3"/>
      <c r="O1499" s="2">
        <f>L1499/J1499*(1-K1499)</f>
        <v>36000</v>
      </c>
    </row>
    <row r="1500" ht="14.25">
      <c r="A1500" s="3" t="s">
        <v>705</v>
      </c>
      <c r="B1500" s="3" t="s">
        <v>705</v>
      </c>
      <c r="C1500" s="3" t="s">
        <v>1095</v>
      </c>
      <c r="D1500" s="3" t="s">
        <v>17</v>
      </c>
      <c r="E1500" s="3" t="s">
        <v>34</v>
      </c>
      <c r="F1500" s="3" t="s">
        <v>19</v>
      </c>
      <c r="G1500" s="4">
        <v>0</v>
      </c>
      <c r="H1500" s="4">
        <v>12600000</v>
      </c>
      <c r="I1500" s="3" t="s">
        <v>1096</v>
      </c>
      <c r="J1500" s="4">
        <v>1</v>
      </c>
      <c r="K1500" s="3" t="s">
        <v>21</v>
      </c>
      <c r="L1500" s="4">
        <v>5700000</v>
      </c>
      <c r="M1500" s="1">
        <f>O1500*J1500*K1500</f>
        <v>0</v>
      </c>
      <c r="N1500" s="3"/>
      <c r="O1500" s="2">
        <f>L1500/J1500*(1-K1500)</f>
        <v>5700000</v>
      </c>
    </row>
    <row r="1501" ht="14.25">
      <c r="A1501" s="3" t="s">
        <v>705</v>
      </c>
      <c r="B1501" s="3" t="s">
        <v>705</v>
      </c>
      <c r="C1501" s="3" t="s">
        <v>1095</v>
      </c>
      <c r="D1501" s="3" t="s">
        <v>17</v>
      </c>
      <c r="E1501" s="3" t="s">
        <v>34</v>
      </c>
      <c r="F1501" s="3" t="s">
        <v>19</v>
      </c>
      <c r="G1501" s="4">
        <v>0</v>
      </c>
      <c r="H1501" s="4">
        <v>12600000</v>
      </c>
      <c r="I1501" s="3" t="s">
        <v>35</v>
      </c>
      <c r="J1501" s="4">
        <v>1</v>
      </c>
      <c r="K1501" s="3" t="s">
        <v>21</v>
      </c>
      <c r="L1501" s="4">
        <v>3650000</v>
      </c>
      <c r="M1501" s="1">
        <f>O1501*J1501*K1501</f>
        <v>0</v>
      </c>
      <c r="N1501" s="3"/>
      <c r="O1501" s="2">
        <f>L1501/J1501*(1-K1501)</f>
        <v>3650000</v>
      </c>
    </row>
    <row r="1502" ht="14.25">
      <c r="A1502" s="3" t="s">
        <v>705</v>
      </c>
      <c r="B1502" s="3" t="s">
        <v>705</v>
      </c>
      <c r="C1502" s="3" t="s">
        <v>1097</v>
      </c>
      <c r="D1502" s="3" t="s">
        <v>17</v>
      </c>
      <c r="E1502" s="3" t="s">
        <v>1098</v>
      </c>
      <c r="F1502" s="3" t="s">
        <v>19</v>
      </c>
      <c r="G1502" s="4">
        <v>0</v>
      </c>
      <c r="H1502" s="4">
        <v>1862880</v>
      </c>
      <c r="I1502" s="3" t="s">
        <v>162</v>
      </c>
      <c r="J1502" s="4">
        <v>240</v>
      </c>
      <c r="K1502" s="3" t="s">
        <v>21</v>
      </c>
      <c r="L1502" s="4">
        <v>1862880</v>
      </c>
      <c r="M1502" s="1">
        <f>O1502*J1502*K1502</f>
        <v>0</v>
      </c>
      <c r="N1502" s="3"/>
      <c r="O1502" s="2">
        <f>L1502/J1502*(1-K1502)</f>
        <v>7762</v>
      </c>
    </row>
    <row r="1503" ht="14.25">
      <c r="A1503" s="3" t="s">
        <v>1099</v>
      </c>
      <c r="B1503" s="3" t="s">
        <v>1100</v>
      </c>
      <c r="C1503" s="3" t="s">
        <v>1101</v>
      </c>
      <c r="D1503" s="3" t="s">
        <v>159</v>
      </c>
      <c r="E1503" s="3" t="s">
        <v>1102</v>
      </c>
      <c r="F1503" s="3" t="s">
        <v>19</v>
      </c>
      <c r="G1503" s="4">
        <v>64000292</v>
      </c>
      <c r="H1503" s="4">
        <v>77244292</v>
      </c>
      <c r="I1503" s="3" t="s">
        <v>1103</v>
      </c>
      <c r="J1503" s="4">
        <v>1</v>
      </c>
      <c r="K1503" s="3" t="s">
        <v>21</v>
      </c>
      <c r="L1503" s="4">
        <v>77244292</v>
      </c>
      <c r="M1503" s="1">
        <f>O1503*J1503*K1503</f>
        <v>0</v>
      </c>
      <c r="N1503" s="3"/>
      <c r="O1503" s="2">
        <f>L1503/J1503*(1-K1503)</f>
        <v>77244292</v>
      </c>
    </row>
    <row r="1504" ht="14.25">
      <c r="A1504" s="3" t="s">
        <v>1104</v>
      </c>
      <c r="B1504" s="3" t="s">
        <v>1100</v>
      </c>
      <c r="C1504" s="3" t="s">
        <v>1105</v>
      </c>
      <c r="D1504" s="3" t="s">
        <v>17</v>
      </c>
      <c r="E1504" s="3" t="s">
        <v>648</v>
      </c>
      <c r="F1504" s="3" t="s">
        <v>19</v>
      </c>
      <c r="G1504" s="4">
        <v>0</v>
      </c>
      <c r="H1504" s="4">
        <v>9985700</v>
      </c>
      <c r="I1504" s="3" t="s">
        <v>1103</v>
      </c>
      <c r="J1504" s="4">
        <v>1</v>
      </c>
      <c r="K1504" s="3" t="s">
        <v>21</v>
      </c>
      <c r="L1504" s="4">
        <v>9985700</v>
      </c>
      <c r="M1504" s="1">
        <f>O1504*J1504*K1504</f>
        <v>0</v>
      </c>
      <c r="N1504" s="3"/>
      <c r="O1504" s="2">
        <f>L1504/J1504*(1-K1504)</f>
        <v>9985700</v>
      </c>
    </row>
    <row r="1505" ht="14.25">
      <c r="A1505" s="3" t="s">
        <v>1106</v>
      </c>
      <c r="B1505" s="3" t="s">
        <v>1100</v>
      </c>
      <c r="C1505" s="3" t="s">
        <v>1107</v>
      </c>
      <c r="D1505" s="3" t="s">
        <v>17</v>
      </c>
      <c r="E1505" s="3" t="s">
        <v>230</v>
      </c>
      <c r="F1505" s="3" t="s">
        <v>19</v>
      </c>
      <c r="G1505" s="4">
        <v>0</v>
      </c>
      <c r="H1505" s="4">
        <v>15459226</v>
      </c>
      <c r="I1505" s="3" t="s">
        <v>1103</v>
      </c>
      <c r="J1505" s="4">
        <v>1</v>
      </c>
      <c r="K1505" s="3" t="s">
        <v>21</v>
      </c>
      <c r="L1505" s="4">
        <v>15459226</v>
      </c>
      <c r="M1505" s="1">
        <f>O1505*J1505*K1505</f>
        <v>0</v>
      </c>
      <c r="N1505" s="3"/>
      <c r="O1505" s="2">
        <f>L1505/J1505*(1-K1505)</f>
        <v>15459226</v>
      </c>
    </row>
    <row r="1506" ht="14.25">
      <c r="A1506" s="3" t="s">
        <v>1108</v>
      </c>
      <c r="B1506" s="3" t="s">
        <v>1109</v>
      </c>
      <c r="C1506" s="3" t="s">
        <v>1110</v>
      </c>
      <c r="D1506" s="3" t="s">
        <v>17</v>
      </c>
      <c r="E1506" s="3" t="s">
        <v>1111</v>
      </c>
      <c r="F1506" s="3" t="s">
        <v>19</v>
      </c>
      <c r="G1506" s="4">
        <v>0</v>
      </c>
      <c r="H1506" s="4">
        <v>756000</v>
      </c>
      <c r="I1506" s="3" t="s">
        <v>1103</v>
      </c>
      <c r="J1506" s="4">
        <v>1</v>
      </c>
      <c r="K1506" s="3" t="s">
        <v>21</v>
      </c>
      <c r="L1506" s="4">
        <v>756000</v>
      </c>
      <c r="M1506" s="1">
        <f>O1506*J1506*K1506</f>
        <v>0</v>
      </c>
      <c r="N1506" s="3"/>
      <c r="O1506" s="2">
        <f>L1506/J1506*(1-K1506)</f>
        <v>756000</v>
      </c>
    </row>
    <row r="1507" ht="14.25">
      <c r="A1507" s="3" t="s">
        <v>1112</v>
      </c>
      <c r="B1507" s="3" t="s">
        <v>1113</v>
      </c>
      <c r="C1507" s="3" t="s">
        <v>1114</v>
      </c>
      <c r="D1507" s="3" t="s">
        <v>159</v>
      </c>
      <c r="E1507" s="3" t="s">
        <v>1115</v>
      </c>
      <c r="F1507" s="3" t="s">
        <v>19</v>
      </c>
      <c r="G1507" s="4">
        <v>1808464</v>
      </c>
      <c r="H1507" s="4">
        <v>20058464</v>
      </c>
      <c r="I1507" s="3" t="s">
        <v>1103</v>
      </c>
      <c r="J1507" s="4">
        <v>1</v>
      </c>
      <c r="K1507" s="3" t="s">
        <v>21</v>
      </c>
      <c r="L1507" s="4">
        <v>20058464</v>
      </c>
      <c r="M1507" s="1">
        <f>O1507*J1507*K1507</f>
        <v>0</v>
      </c>
      <c r="N1507" s="3"/>
      <c r="O1507" s="2">
        <f>L1507/J1507*(1-K1507)</f>
        <v>20058464</v>
      </c>
    </row>
    <row r="1508" ht="14.25">
      <c r="A1508" s="3" t="s">
        <v>1116</v>
      </c>
      <c r="B1508" s="3" t="s">
        <v>1117</v>
      </c>
      <c r="C1508" s="3" t="s">
        <v>1118</v>
      </c>
      <c r="D1508" s="3" t="s">
        <v>17</v>
      </c>
      <c r="E1508" s="3" t="s">
        <v>398</v>
      </c>
      <c r="F1508" s="3" t="s">
        <v>19</v>
      </c>
      <c r="G1508" s="4">
        <v>0</v>
      </c>
      <c r="H1508" s="4">
        <v>9900000</v>
      </c>
      <c r="I1508" s="3" t="s">
        <v>1103</v>
      </c>
      <c r="J1508" s="4">
        <v>1</v>
      </c>
      <c r="K1508" s="3" t="s">
        <v>21</v>
      </c>
      <c r="L1508" s="4">
        <v>9900000</v>
      </c>
      <c r="M1508" s="1">
        <f>O1508*J1508*K1508</f>
        <v>0</v>
      </c>
      <c r="N1508" s="3"/>
      <c r="O1508" s="2">
        <f>L1508/J1508*(1-K1508)</f>
        <v>9900000</v>
      </c>
    </row>
    <row r="1509" ht="14.25">
      <c r="A1509" s="3" t="s">
        <v>1104</v>
      </c>
      <c r="B1509" s="3" t="s">
        <v>1119</v>
      </c>
      <c r="C1509" s="3" t="s">
        <v>1120</v>
      </c>
      <c r="D1509" s="3" t="s">
        <v>17</v>
      </c>
      <c r="E1509" s="3" t="s">
        <v>389</v>
      </c>
      <c r="F1509" s="3" t="s">
        <v>19</v>
      </c>
      <c r="G1509" s="4">
        <v>0</v>
      </c>
      <c r="H1509" s="4">
        <v>24366016</v>
      </c>
      <c r="I1509" s="3" t="s">
        <v>1103</v>
      </c>
      <c r="J1509" s="4">
        <v>1</v>
      </c>
      <c r="K1509" s="3" t="s">
        <v>21</v>
      </c>
      <c r="L1509" s="4">
        <v>24366016</v>
      </c>
      <c r="M1509" s="1">
        <f>O1509*J1509*K1509</f>
        <v>0</v>
      </c>
      <c r="N1509" s="3"/>
      <c r="O1509" s="2">
        <f>L1509/J1509*(1-K1509)</f>
        <v>24366016</v>
      </c>
    </row>
    <row r="1510" ht="14.25">
      <c r="A1510" s="3" t="s">
        <v>1121</v>
      </c>
      <c r="B1510" s="3" t="s">
        <v>1116</v>
      </c>
      <c r="C1510" s="3" t="s">
        <v>1122</v>
      </c>
      <c r="D1510" s="3" t="s">
        <v>17</v>
      </c>
      <c r="E1510" s="3" t="s">
        <v>221</v>
      </c>
      <c r="F1510" s="3" t="s">
        <v>19</v>
      </c>
      <c r="G1510" s="4">
        <v>0</v>
      </c>
      <c r="H1510" s="4">
        <v>33250000</v>
      </c>
      <c r="I1510" s="3" t="s">
        <v>1103</v>
      </c>
      <c r="J1510" s="4">
        <v>1</v>
      </c>
      <c r="K1510" s="3" t="s">
        <v>21</v>
      </c>
      <c r="L1510" s="4">
        <v>33250000</v>
      </c>
      <c r="M1510" s="1">
        <f>O1510*J1510*K1510</f>
        <v>0</v>
      </c>
      <c r="N1510" s="3"/>
      <c r="O1510" s="2">
        <f>L1510/J1510*(1-K1510)</f>
        <v>33250000</v>
      </c>
    </row>
    <row r="1511" ht="14.25">
      <c r="A1511" s="3" t="s">
        <v>1123</v>
      </c>
      <c r="B1511" s="3" t="s">
        <v>1124</v>
      </c>
      <c r="C1511" s="3" t="s">
        <v>1125</v>
      </c>
      <c r="D1511" s="3" t="s">
        <v>17</v>
      </c>
      <c r="E1511" s="3" t="s">
        <v>436</v>
      </c>
      <c r="F1511" s="3" t="s">
        <v>19</v>
      </c>
      <c r="G1511" s="4">
        <v>0</v>
      </c>
      <c r="H1511" s="4">
        <v>72250775</v>
      </c>
      <c r="I1511" s="3" t="s">
        <v>1103</v>
      </c>
      <c r="J1511" s="4">
        <v>1</v>
      </c>
      <c r="K1511" s="3" t="s">
        <v>21</v>
      </c>
      <c r="L1511" s="4">
        <v>72250775</v>
      </c>
      <c r="M1511" s="1">
        <f>O1511*J1511*K1511</f>
        <v>0</v>
      </c>
      <c r="N1511" s="3"/>
      <c r="O1511" s="2">
        <f>L1511/J1511*(1-K1511)</f>
        <v>72250775</v>
      </c>
    </row>
    <row r="1512" ht="14.25">
      <c r="A1512" s="3" t="s">
        <v>1126</v>
      </c>
      <c r="B1512" s="3" t="s">
        <v>1100</v>
      </c>
      <c r="C1512" s="3" t="s">
        <v>1127</v>
      </c>
      <c r="D1512" s="3" t="s">
        <v>159</v>
      </c>
      <c r="E1512" s="3" t="s">
        <v>252</v>
      </c>
      <c r="F1512" s="3" t="s">
        <v>19</v>
      </c>
      <c r="G1512" s="4">
        <v>4100000</v>
      </c>
      <c r="H1512" s="4">
        <v>4100000</v>
      </c>
      <c r="I1512" s="3" t="s">
        <v>1103</v>
      </c>
      <c r="J1512" s="4">
        <v>1</v>
      </c>
      <c r="K1512" s="3" t="s">
        <v>21</v>
      </c>
      <c r="L1512" s="4">
        <v>4100000</v>
      </c>
      <c r="M1512" s="1">
        <f>O1512*J1512*K1512</f>
        <v>0</v>
      </c>
      <c r="N1512" s="3"/>
      <c r="O1512" s="2">
        <f>L1512/J1512*(1-K1512)</f>
        <v>4100000</v>
      </c>
    </row>
    <row r="1513" ht="14.25">
      <c r="A1513" s="3" t="s">
        <v>1128</v>
      </c>
      <c r="B1513" s="3" t="s">
        <v>1129</v>
      </c>
      <c r="C1513" s="3" t="s">
        <v>1130</v>
      </c>
      <c r="D1513" s="3" t="s">
        <v>159</v>
      </c>
      <c r="E1513" s="3" t="s">
        <v>1131</v>
      </c>
      <c r="F1513" s="3" t="s">
        <v>19</v>
      </c>
      <c r="G1513" s="4">
        <v>18857711</v>
      </c>
      <c r="H1513" s="4">
        <v>18857711</v>
      </c>
      <c r="I1513" s="3" t="s">
        <v>1103</v>
      </c>
      <c r="J1513" s="4">
        <v>1</v>
      </c>
      <c r="K1513" s="3" t="s">
        <v>21</v>
      </c>
      <c r="L1513" s="4">
        <v>18857711</v>
      </c>
      <c r="M1513" s="1">
        <f>O1513*J1513*K1513</f>
        <v>0</v>
      </c>
      <c r="N1513" s="3"/>
      <c r="O1513" s="2">
        <f>L1513/J1513*(1-K1513)</f>
        <v>18857711</v>
      </c>
    </row>
    <row r="1514" ht="14.25">
      <c r="A1514" s="3" t="s">
        <v>1132</v>
      </c>
      <c r="B1514" s="3" t="s">
        <v>1133</v>
      </c>
      <c r="C1514" s="3" t="s">
        <v>1134</v>
      </c>
      <c r="D1514" s="3" t="s">
        <v>159</v>
      </c>
      <c r="E1514" s="3" t="s">
        <v>1135</v>
      </c>
      <c r="F1514" s="3" t="s">
        <v>19</v>
      </c>
      <c r="G1514" s="4">
        <v>157369488</v>
      </c>
      <c r="H1514" s="4">
        <v>157369488</v>
      </c>
      <c r="I1514" s="3" t="s">
        <v>1103</v>
      </c>
      <c r="J1514" s="4">
        <v>1</v>
      </c>
      <c r="K1514" s="3" t="s">
        <v>21</v>
      </c>
      <c r="L1514" s="4">
        <v>157369488</v>
      </c>
      <c r="M1514" s="1">
        <f>O1514*J1514*K1514</f>
        <v>0</v>
      </c>
      <c r="N1514" s="3"/>
      <c r="O1514" s="2">
        <f>L1514/J1514*(1-K1514)</f>
        <v>157369488</v>
      </c>
    </row>
    <row r="1515" ht="14.25">
      <c r="A1515" s="3" t="s">
        <v>1121</v>
      </c>
      <c r="B1515" s="3" t="s">
        <v>1116</v>
      </c>
      <c r="C1515" s="3" t="s">
        <v>1136</v>
      </c>
      <c r="D1515" s="3" t="s">
        <v>17</v>
      </c>
      <c r="E1515" s="3" t="s">
        <v>351</v>
      </c>
      <c r="F1515" s="3" t="s">
        <v>19</v>
      </c>
      <c r="G1515" s="4">
        <v>0</v>
      </c>
      <c r="H1515" s="4">
        <v>62358328</v>
      </c>
      <c r="I1515" s="3" t="s">
        <v>1103</v>
      </c>
      <c r="J1515" s="4">
        <v>1</v>
      </c>
      <c r="K1515" s="3" t="s">
        <v>21</v>
      </c>
      <c r="L1515" s="4">
        <v>62358328</v>
      </c>
      <c r="M1515" s="1">
        <f>O1515*J1515*K1515</f>
        <v>0</v>
      </c>
      <c r="N1515" s="3"/>
      <c r="O1515" s="2">
        <f>L1515/J1515*(1-K1515)</f>
        <v>62358328</v>
      </c>
    </row>
    <row r="1516" ht="14.25">
      <c r="A1516" s="3" t="s">
        <v>1137</v>
      </c>
      <c r="B1516" s="3" t="s">
        <v>1138</v>
      </c>
      <c r="C1516" s="3" t="s">
        <v>1139</v>
      </c>
      <c r="D1516" s="3" t="s">
        <v>159</v>
      </c>
      <c r="E1516" s="3" t="s">
        <v>1140</v>
      </c>
      <c r="F1516" s="3" t="s">
        <v>19</v>
      </c>
      <c r="G1516" s="4">
        <v>4000000</v>
      </c>
      <c r="H1516" s="4">
        <v>4000000</v>
      </c>
      <c r="I1516" s="3" t="s">
        <v>1103</v>
      </c>
      <c r="J1516" s="4">
        <v>1</v>
      </c>
      <c r="K1516" s="3" t="s">
        <v>21</v>
      </c>
      <c r="L1516" s="4">
        <v>4000000</v>
      </c>
      <c r="M1516" s="1">
        <f>O1516*J1516*K1516</f>
        <v>0</v>
      </c>
      <c r="N1516" s="3"/>
      <c r="O1516" s="2">
        <f>L1516/J1516*(1-K1516)</f>
        <v>4000000</v>
      </c>
    </row>
    <row r="1517" ht="14.25">
      <c r="A1517" s="3" t="s">
        <v>1141</v>
      </c>
      <c r="B1517" s="3" t="s">
        <v>1142</v>
      </c>
      <c r="C1517" s="3" t="s">
        <v>1143</v>
      </c>
      <c r="D1517" s="3" t="s">
        <v>159</v>
      </c>
      <c r="E1517" s="3" t="s">
        <v>501</v>
      </c>
      <c r="F1517" s="3" t="s">
        <v>19</v>
      </c>
      <c r="G1517" s="4">
        <v>4500000</v>
      </c>
      <c r="H1517" s="4">
        <v>8400000</v>
      </c>
      <c r="I1517" s="3" t="s">
        <v>1103</v>
      </c>
      <c r="J1517" s="4">
        <v>1</v>
      </c>
      <c r="K1517" s="3" t="s">
        <v>21</v>
      </c>
      <c r="L1517" s="4">
        <v>8400000</v>
      </c>
      <c r="M1517" s="1">
        <f>O1517*J1517*K1517</f>
        <v>0</v>
      </c>
      <c r="N1517" s="3"/>
      <c r="O1517" s="2">
        <f>L1517/J1517*(1-K1517)</f>
        <v>8400000</v>
      </c>
    </row>
    <row r="1518" ht="14.25">
      <c r="A1518" s="3" t="s">
        <v>1144</v>
      </c>
      <c r="B1518" s="3" t="s">
        <v>1145</v>
      </c>
      <c r="C1518" s="3" t="s">
        <v>1146</v>
      </c>
      <c r="D1518" s="3" t="s">
        <v>159</v>
      </c>
      <c r="E1518" s="3" t="s">
        <v>1147</v>
      </c>
      <c r="F1518" s="3" t="s">
        <v>19</v>
      </c>
      <c r="G1518" s="4">
        <v>53770000</v>
      </c>
      <c r="H1518" s="4">
        <v>53770000</v>
      </c>
      <c r="I1518" s="3" t="s">
        <v>1103</v>
      </c>
      <c r="J1518" s="4">
        <v>1</v>
      </c>
      <c r="K1518" s="3" t="s">
        <v>21</v>
      </c>
      <c r="L1518" s="4">
        <v>53770000</v>
      </c>
      <c r="M1518" s="1">
        <f>O1518*J1518*K1518</f>
        <v>0</v>
      </c>
      <c r="N1518" s="3"/>
      <c r="O1518" s="2">
        <f>L1518/J1518*(1-K1518)</f>
        <v>53770000</v>
      </c>
    </row>
    <row r="1519" ht="14.25">
      <c r="A1519" s="3" t="s">
        <v>1148</v>
      </c>
      <c r="B1519" s="3" t="s">
        <v>1149</v>
      </c>
      <c r="C1519" s="3" t="s">
        <v>1150</v>
      </c>
      <c r="D1519" s="3" t="s">
        <v>159</v>
      </c>
      <c r="E1519" s="3" t="s">
        <v>1151</v>
      </c>
      <c r="F1519" s="3" t="s">
        <v>19</v>
      </c>
      <c r="G1519" s="4">
        <v>4567000</v>
      </c>
      <c r="H1519" s="4">
        <v>4567000</v>
      </c>
      <c r="I1519" s="3" t="s">
        <v>1103</v>
      </c>
      <c r="J1519" s="4">
        <v>1</v>
      </c>
      <c r="K1519" s="3" t="s">
        <v>21</v>
      </c>
      <c r="L1519" s="4">
        <v>4567000</v>
      </c>
      <c r="M1519" s="1">
        <f>O1519*J1519*K1519</f>
        <v>0</v>
      </c>
      <c r="N1519" s="3"/>
      <c r="O1519" s="2">
        <f>L1519/J1519*(1-K1519)</f>
        <v>4567000</v>
      </c>
    </row>
    <row r="1520" ht="14.25">
      <c r="A1520" s="3" t="s">
        <v>1152</v>
      </c>
      <c r="B1520" s="3" t="s">
        <v>1153</v>
      </c>
      <c r="C1520" s="3" t="s">
        <v>1154</v>
      </c>
      <c r="D1520" s="3" t="s">
        <v>159</v>
      </c>
      <c r="E1520" s="3" t="s">
        <v>1155</v>
      </c>
      <c r="F1520" s="3" t="s">
        <v>19</v>
      </c>
      <c r="G1520" s="4">
        <v>77482000</v>
      </c>
      <c r="H1520" s="4">
        <v>77482000</v>
      </c>
      <c r="I1520" s="3" t="s">
        <v>1103</v>
      </c>
      <c r="J1520" s="4">
        <v>1</v>
      </c>
      <c r="K1520" s="3" t="s">
        <v>21</v>
      </c>
      <c r="L1520" s="4">
        <v>77482000</v>
      </c>
      <c r="M1520" s="1">
        <f>O1520*J1520*K1520</f>
        <v>0</v>
      </c>
      <c r="N1520" s="3"/>
      <c r="O1520" s="2">
        <f>L1520/J1520*(1-K1520)</f>
        <v>77482000</v>
      </c>
    </row>
    <row r="1521" ht="14.25">
      <c r="A1521" s="3" t="s">
        <v>1156</v>
      </c>
      <c r="B1521" s="3" t="s">
        <v>1157</v>
      </c>
      <c r="C1521" s="3" t="s">
        <v>1158</v>
      </c>
      <c r="D1521" s="3" t="s">
        <v>159</v>
      </c>
      <c r="E1521" s="3" t="s">
        <v>1159</v>
      </c>
      <c r="F1521" s="3" t="s">
        <v>19</v>
      </c>
      <c r="G1521" s="4">
        <v>22485000</v>
      </c>
      <c r="H1521" s="4">
        <v>22485000</v>
      </c>
      <c r="I1521" s="3" t="s">
        <v>1103</v>
      </c>
      <c r="J1521" s="4">
        <v>1</v>
      </c>
      <c r="K1521" s="3" t="s">
        <v>21</v>
      </c>
      <c r="L1521" s="4">
        <v>22485000</v>
      </c>
      <c r="M1521" s="1">
        <f>O1521*J1521*K1521</f>
        <v>0</v>
      </c>
      <c r="N1521" s="3"/>
      <c r="O1521" s="2">
        <f>L1521/J1521*(1-K1521)</f>
        <v>22485000</v>
      </c>
    </row>
    <row r="1522" ht="14.25">
      <c r="A1522" s="3" t="s">
        <v>1160</v>
      </c>
      <c r="B1522" s="3" t="s">
        <v>1161</v>
      </c>
      <c r="C1522" s="3" t="s">
        <v>1162</v>
      </c>
      <c r="D1522" s="3" t="s">
        <v>159</v>
      </c>
      <c r="E1522" s="3" t="s">
        <v>1163</v>
      </c>
      <c r="F1522" s="3" t="s">
        <v>19</v>
      </c>
      <c r="G1522" s="4">
        <v>4300000</v>
      </c>
      <c r="H1522" s="4">
        <v>4300000</v>
      </c>
      <c r="I1522" s="3" t="s">
        <v>1103</v>
      </c>
      <c r="J1522" s="4">
        <v>1</v>
      </c>
      <c r="K1522" s="3" t="s">
        <v>21</v>
      </c>
      <c r="L1522" s="4">
        <v>4300000</v>
      </c>
      <c r="M1522" s="1">
        <f>O1522*J1522*K1522</f>
        <v>0</v>
      </c>
      <c r="N1522" s="3"/>
      <c r="O1522" s="2">
        <f>L1522/J1522*(1-K1522)</f>
        <v>4300000</v>
      </c>
    </row>
    <row r="1523" ht="14.25">
      <c r="A1523" s="3" t="s">
        <v>1164</v>
      </c>
      <c r="B1523" s="3" t="s">
        <v>1165</v>
      </c>
      <c r="C1523" s="3" t="s">
        <v>1166</v>
      </c>
      <c r="D1523" s="3" t="s">
        <v>159</v>
      </c>
      <c r="E1523" s="3" t="s">
        <v>1167</v>
      </c>
      <c r="F1523" s="3" t="s">
        <v>19</v>
      </c>
      <c r="G1523" s="4">
        <v>7944500</v>
      </c>
      <c r="H1523" s="4">
        <v>7944500</v>
      </c>
      <c r="I1523" s="3" t="s">
        <v>1103</v>
      </c>
      <c r="J1523" s="4">
        <v>1</v>
      </c>
      <c r="K1523" s="3" t="s">
        <v>21</v>
      </c>
      <c r="L1523" s="4">
        <v>7944500</v>
      </c>
      <c r="M1523" s="1">
        <f>O1523*J1523*K1523</f>
        <v>0</v>
      </c>
      <c r="N1523" s="3"/>
      <c r="O1523" s="2">
        <f>L1523/J1523*(1-K1523)</f>
        <v>7944500</v>
      </c>
    </row>
    <row r="1524" ht="14.25">
      <c r="A1524" s="3" t="s">
        <v>1168</v>
      </c>
      <c r="B1524" s="3" t="s">
        <v>1169</v>
      </c>
      <c r="C1524" s="3" t="s">
        <v>1170</v>
      </c>
      <c r="D1524" s="3" t="s">
        <v>159</v>
      </c>
      <c r="E1524" s="3" t="s">
        <v>1171</v>
      </c>
      <c r="F1524" s="3" t="s">
        <v>19</v>
      </c>
      <c r="G1524" s="4">
        <v>25850000</v>
      </c>
      <c r="H1524" s="4">
        <v>25850000</v>
      </c>
      <c r="I1524" s="3" t="s">
        <v>1103</v>
      </c>
      <c r="J1524" s="4">
        <v>1</v>
      </c>
      <c r="K1524" s="3" t="s">
        <v>21</v>
      </c>
      <c r="L1524" s="4">
        <v>25850000</v>
      </c>
      <c r="M1524" s="1">
        <f>O1524*J1524*K1524</f>
        <v>0</v>
      </c>
      <c r="N1524" s="3"/>
      <c r="O1524" s="2">
        <f>L1524/J1524*(1-K1524)</f>
        <v>25850000</v>
      </c>
    </row>
    <row r="1525" ht="14.25">
      <c r="A1525" s="3" t="s">
        <v>1172</v>
      </c>
      <c r="B1525" s="3" t="s">
        <v>1124</v>
      </c>
      <c r="C1525" s="3" t="s">
        <v>1173</v>
      </c>
      <c r="D1525" s="3" t="s">
        <v>159</v>
      </c>
      <c r="E1525" s="3" t="s">
        <v>1174</v>
      </c>
      <c r="F1525" s="3" t="s">
        <v>19</v>
      </c>
      <c r="G1525" s="4">
        <v>1396924</v>
      </c>
      <c r="H1525" s="4">
        <v>1396924</v>
      </c>
      <c r="I1525" s="3" t="s">
        <v>1103</v>
      </c>
      <c r="J1525" s="4">
        <v>1</v>
      </c>
      <c r="K1525" s="3" t="s">
        <v>21</v>
      </c>
      <c r="L1525" s="4">
        <v>1396924</v>
      </c>
      <c r="M1525" s="1">
        <f>O1525*J1525*K1525</f>
        <v>0</v>
      </c>
      <c r="N1525" s="3"/>
      <c r="O1525" s="2">
        <f>L1525/J1525*(1-K1525)</f>
        <v>1396924</v>
      </c>
    </row>
    <row r="1526" ht="14.25">
      <c r="A1526" s="3" t="s">
        <v>1175</v>
      </c>
      <c r="B1526" s="3" t="s">
        <v>1124</v>
      </c>
      <c r="C1526" s="3" t="s">
        <v>1176</v>
      </c>
      <c r="D1526" s="3" t="s">
        <v>159</v>
      </c>
      <c r="E1526" s="3" t="s">
        <v>596</v>
      </c>
      <c r="F1526" s="3" t="s">
        <v>19</v>
      </c>
      <c r="G1526" s="4">
        <v>15000000</v>
      </c>
      <c r="H1526" s="4">
        <v>25870000</v>
      </c>
      <c r="I1526" s="3" t="s">
        <v>1103</v>
      </c>
      <c r="J1526" s="4">
        <v>1</v>
      </c>
      <c r="K1526" s="3" t="s">
        <v>21</v>
      </c>
      <c r="L1526" s="4">
        <v>25870000</v>
      </c>
      <c r="M1526" s="1">
        <f>O1526*J1526*K1526</f>
        <v>0</v>
      </c>
      <c r="N1526" s="3"/>
      <c r="O1526" s="2">
        <f>L1526/J1526*(1-K1526)</f>
        <v>25870000</v>
      </c>
    </row>
    <row r="1527" ht="14.25">
      <c r="A1527" s="3" t="s">
        <v>1177</v>
      </c>
      <c r="B1527" s="3" t="s">
        <v>1178</v>
      </c>
      <c r="C1527" s="3" t="s">
        <v>1179</v>
      </c>
      <c r="D1527" s="3" t="s">
        <v>159</v>
      </c>
      <c r="E1527" s="3" t="s">
        <v>1180</v>
      </c>
      <c r="F1527" s="3" t="s">
        <v>19</v>
      </c>
      <c r="G1527" s="4">
        <v>31603000</v>
      </c>
      <c r="H1527" s="4">
        <v>31603000</v>
      </c>
      <c r="I1527" s="3" t="s">
        <v>1103</v>
      </c>
      <c r="J1527" s="4">
        <v>1</v>
      </c>
      <c r="K1527" s="3" t="s">
        <v>21</v>
      </c>
      <c r="L1527" s="4">
        <v>31603000</v>
      </c>
      <c r="M1527" s="1">
        <f>O1527*J1527*K1527</f>
        <v>0</v>
      </c>
      <c r="N1527" s="3"/>
      <c r="O1527" s="2">
        <f>L1527/J1527*(1-K1527)</f>
        <v>31603000</v>
      </c>
    </row>
    <row r="1528" ht="14.25">
      <c r="A1528" s="3" t="s">
        <v>1169</v>
      </c>
      <c r="B1528" s="3" t="s">
        <v>1181</v>
      </c>
      <c r="C1528" s="3" t="s">
        <v>1182</v>
      </c>
      <c r="D1528" s="3" t="s">
        <v>159</v>
      </c>
      <c r="E1528" s="3" t="s">
        <v>1183</v>
      </c>
      <c r="F1528" s="3" t="s">
        <v>19</v>
      </c>
      <c r="G1528" s="4">
        <v>16125000</v>
      </c>
      <c r="H1528" s="4">
        <v>16125000</v>
      </c>
      <c r="I1528" s="3" t="s">
        <v>1103</v>
      </c>
      <c r="J1528" s="4">
        <v>1</v>
      </c>
      <c r="K1528" s="3" t="s">
        <v>21</v>
      </c>
      <c r="L1528" s="4">
        <v>16125000</v>
      </c>
      <c r="M1528" s="1">
        <f>O1528*J1528*K1528</f>
        <v>0</v>
      </c>
      <c r="N1528" s="3"/>
      <c r="O1528" s="2">
        <f>L1528/J1528*(1-K1528)</f>
        <v>16125000</v>
      </c>
    </row>
    <row r="1529" ht="14.25">
      <c r="A1529" s="3" t="s">
        <v>1184</v>
      </c>
      <c r="B1529" s="3" t="s">
        <v>1124</v>
      </c>
      <c r="C1529" s="3" t="s">
        <v>1185</v>
      </c>
      <c r="D1529" s="3" t="s">
        <v>159</v>
      </c>
      <c r="E1529" s="3" t="s">
        <v>1186</v>
      </c>
      <c r="F1529" s="3" t="s">
        <v>19</v>
      </c>
      <c r="G1529" s="4">
        <v>6750000</v>
      </c>
      <c r="H1529" s="4">
        <v>6750000</v>
      </c>
      <c r="I1529" s="3" t="s">
        <v>1103</v>
      </c>
      <c r="J1529" s="4">
        <v>1</v>
      </c>
      <c r="K1529" s="3" t="s">
        <v>21</v>
      </c>
      <c r="L1529" s="4">
        <v>6750000</v>
      </c>
      <c r="M1529" s="1">
        <f>O1529*J1529*K1529</f>
        <v>0</v>
      </c>
      <c r="N1529" s="3"/>
      <c r="O1529" s="2">
        <f>L1529/J1529*(1-K1529)</f>
        <v>6750000</v>
      </c>
    </row>
    <row r="1530" ht="14.25">
      <c r="A1530" s="3" t="s">
        <v>722</v>
      </c>
      <c r="B1530" s="3" t="s">
        <v>722</v>
      </c>
      <c r="C1530" s="3" t="s">
        <v>1187</v>
      </c>
      <c r="D1530" s="3" t="s">
        <v>17</v>
      </c>
      <c r="E1530" s="3" t="s">
        <v>88</v>
      </c>
      <c r="F1530" s="3" t="s">
        <v>19</v>
      </c>
      <c r="G1530" s="4">
        <v>0</v>
      </c>
      <c r="H1530" s="4">
        <v>6000000</v>
      </c>
      <c r="I1530" s="3" t="s">
        <v>1046</v>
      </c>
      <c r="J1530" s="4">
        <v>35</v>
      </c>
      <c r="K1530" s="3" t="s">
        <v>21</v>
      </c>
      <c r="L1530" s="4">
        <v>4200000</v>
      </c>
      <c r="M1530" s="1">
        <f>O1530*J1530*K1530</f>
        <v>0</v>
      </c>
      <c r="N1530" s="3"/>
      <c r="O1530" s="2">
        <f>L1530/J1530*(1-K1530)</f>
        <v>120000</v>
      </c>
    </row>
    <row r="1531" ht="14.25">
      <c r="A1531" s="3" t="s">
        <v>722</v>
      </c>
      <c r="B1531" s="3" t="s">
        <v>722</v>
      </c>
      <c r="C1531" s="3" t="s">
        <v>1187</v>
      </c>
      <c r="D1531" s="3" t="s">
        <v>17</v>
      </c>
      <c r="E1531" s="3" t="s">
        <v>88</v>
      </c>
      <c r="F1531" s="3" t="s">
        <v>19</v>
      </c>
      <c r="G1531" s="4">
        <v>0</v>
      </c>
      <c r="H1531" s="4">
        <v>6000000</v>
      </c>
      <c r="I1531" s="3" t="s">
        <v>622</v>
      </c>
      <c r="J1531" s="4">
        <v>10</v>
      </c>
      <c r="K1531" s="3" t="s">
        <v>21</v>
      </c>
      <c r="L1531" s="4">
        <v>1200000</v>
      </c>
      <c r="M1531" s="1">
        <f>O1531*J1531*K1531</f>
        <v>0</v>
      </c>
      <c r="N1531" s="3"/>
      <c r="O1531" s="2">
        <f>L1531/J1531*(1-K1531)</f>
        <v>120000</v>
      </c>
    </row>
    <row r="1532" ht="14.25">
      <c r="A1532" s="3" t="s">
        <v>722</v>
      </c>
      <c r="B1532" s="3" t="s">
        <v>722</v>
      </c>
      <c r="C1532" s="3" t="s">
        <v>1187</v>
      </c>
      <c r="D1532" s="3" t="s">
        <v>17</v>
      </c>
      <c r="E1532" s="3" t="s">
        <v>88</v>
      </c>
      <c r="F1532" s="3" t="s">
        <v>19</v>
      </c>
      <c r="G1532" s="4">
        <v>0</v>
      </c>
      <c r="H1532" s="4">
        <v>6000000</v>
      </c>
      <c r="I1532" s="3" t="s">
        <v>1053</v>
      </c>
      <c r="J1532" s="4">
        <v>5</v>
      </c>
      <c r="K1532" s="3" t="s">
        <v>21</v>
      </c>
      <c r="L1532" s="4">
        <v>600000</v>
      </c>
      <c r="M1532" s="1">
        <f>O1532*J1532*K1532</f>
        <v>0</v>
      </c>
      <c r="N1532" s="3"/>
      <c r="O1532" s="2">
        <f>L1532/J1532*(1-K1532)</f>
        <v>120000</v>
      </c>
    </row>
    <row r="1533" ht="14.25">
      <c r="A1533" s="3" t="s">
        <v>722</v>
      </c>
      <c r="B1533" s="3" t="s">
        <v>722</v>
      </c>
      <c r="C1533" s="3" t="s">
        <v>1188</v>
      </c>
      <c r="D1533" s="3" t="s">
        <v>17</v>
      </c>
      <c r="E1533" s="3" t="s">
        <v>1189</v>
      </c>
      <c r="F1533" s="3" t="s">
        <v>19</v>
      </c>
      <c r="G1533" s="4">
        <v>0</v>
      </c>
      <c r="H1533" s="4">
        <v>9862830</v>
      </c>
      <c r="I1533" s="3" t="s">
        <v>267</v>
      </c>
      <c r="J1533" s="4">
        <v>12</v>
      </c>
      <c r="K1533" s="3" t="s">
        <v>21</v>
      </c>
      <c r="L1533" s="4">
        <v>1007340</v>
      </c>
      <c r="M1533" s="1">
        <f>O1533*J1533*K1533</f>
        <v>0</v>
      </c>
      <c r="N1533" s="3"/>
      <c r="O1533" s="2">
        <f>L1533/J1533*(1-K1533)</f>
        <v>83945</v>
      </c>
    </row>
    <row r="1534" ht="14.25">
      <c r="A1534" s="3" t="s">
        <v>722</v>
      </c>
      <c r="B1534" s="3" t="s">
        <v>722</v>
      </c>
      <c r="C1534" s="3" t="s">
        <v>1188</v>
      </c>
      <c r="D1534" s="3" t="s">
        <v>17</v>
      </c>
      <c r="E1534" s="3" t="s">
        <v>1189</v>
      </c>
      <c r="F1534" s="3" t="s">
        <v>19</v>
      </c>
      <c r="G1534" s="4">
        <v>0</v>
      </c>
      <c r="H1534" s="4">
        <v>9862830</v>
      </c>
      <c r="I1534" s="3" t="s">
        <v>182</v>
      </c>
      <c r="J1534" s="4">
        <v>4</v>
      </c>
      <c r="K1534" s="3" t="s">
        <v>21</v>
      </c>
      <c r="L1534" s="4">
        <v>1324580</v>
      </c>
      <c r="M1534" s="1">
        <f>O1534*J1534*K1534</f>
        <v>0</v>
      </c>
      <c r="N1534" s="3"/>
      <c r="O1534" s="2">
        <f>L1534/J1534*(1-K1534)</f>
        <v>331145</v>
      </c>
    </row>
    <row r="1535" ht="14.25">
      <c r="A1535" s="3" t="s">
        <v>722</v>
      </c>
      <c r="B1535" s="3" t="s">
        <v>722</v>
      </c>
      <c r="C1535" s="3" t="s">
        <v>1188</v>
      </c>
      <c r="D1535" s="3" t="s">
        <v>17</v>
      </c>
      <c r="E1535" s="3" t="s">
        <v>1189</v>
      </c>
      <c r="F1535" s="3" t="s">
        <v>19</v>
      </c>
      <c r="G1535" s="4">
        <v>0</v>
      </c>
      <c r="H1535" s="4">
        <v>9862830</v>
      </c>
      <c r="I1535" s="3" t="s">
        <v>223</v>
      </c>
      <c r="J1535" s="4">
        <v>12</v>
      </c>
      <c r="K1535" s="3" t="s">
        <v>21</v>
      </c>
      <c r="L1535" s="4">
        <v>741600</v>
      </c>
      <c r="M1535" s="1">
        <f>O1535*J1535*K1535</f>
        <v>0</v>
      </c>
      <c r="N1535" s="3"/>
      <c r="O1535" s="2">
        <f>L1535/J1535*(1-K1535)</f>
        <v>61800</v>
      </c>
    </row>
    <row r="1536" ht="14.25">
      <c r="A1536" s="3" t="s">
        <v>722</v>
      </c>
      <c r="B1536" s="3" t="s">
        <v>722</v>
      </c>
      <c r="C1536" s="3" t="s">
        <v>1188</v>
      </c>
      <c r="D1536" s="3" t="s">
        <v>17</v>
      </c>
      <c r="E1536" s="3" t="s">
        <v>1189</v>
      </c>
      <c r="F1536" s="3" t="s">
        <v>19</v>
      </c>
      <c r="G1536" s="4">
        <v>0</v>
      </c>
      <c r="H1536" s="4">
        <v>9862830</v>
      </c>
      <c r="I1536" s="3" t="s">
        <v>126</v>
      </c>
      <c r="J1536" s="4">
        <v>8</v>
      </c>
      <c r="K1536" s="3" t="s">
        <v>21</v>
      </c>
      <c r="L1536" s="4">
        <v>1899320</v>
      </c>
      <c r="M1536" s="1">
        <f>O1536*J1536*K1536</f>
        <v>0</v>
      </c>
      <c r="N1536" s="3"/>
      <c r="O1536" s="2">
        <f>L1536/J1536*(1-K1536)</f>
        <v>237415</v>
      </c>
    </row>
    <row r="1537" ht="14.25">
      <c r="A1537" s="3" t="s">
        <v>722</v>
      </c>
      <c r="B1537" s="3" t="s">
        <v>722</v>
      </c>
      <c r="C1537" s="3" t="s">
        <v>1188</v>
      </c>
      <c r="D1537" s="3" t="s">
        <v>17</v>
      </c>
      <c r="E1537" s="3" t="s">
        <v>1189</v>
      </c>
      <c r="F1537" s="3" t="s">
        <v>19</v>
      </c>
      <c r="G1537" s="4">
        <v>0</v>
      </c>
      <c r="H1537" s="4">
        <v>9862830</v>
      </c>
      <c r="I1537" s="3" t="s">
        <v>882</v>
      </c>
      <c r="J1537" s="4">
        <v>4</v>
      </c>
      <c r="K1537" s="3" t="s">
        <v>21</v>
      </c>
      <c r="L1537" s="4">
        <v>650960</v>
      </c>
      <c r="M1537" s="1">
        <f>O1537*J1537*K1537</f>
        <v>0</v>
      </c>
      <c r="N1537" s="3"/>
      <c r="O1537" s="2">
        <f>L1537/J1537*(1-K1537)</f>
        <v>162740</v>
      </c>
    </row>
    <row r="1538" ht="14.25">
      <c r="A1538" s="3" t="s">
        <v>722</v>
      </c>
      <c r="B1538" s="3" t="s">
        <v>722</v>
      </c>
      <c r="C1538" s="3" t="s">
        <v>1188</v>
      </c>
      <c r="D1538" s="3" t="s">
        <v>17</v>
      </c>
      <c r="E1538" s="3" t="s">
        <v>1189</v>
      </c>
      <c r="F1538" s="3" t="s">
        <v>19</v>
      </c>
      <c r="G1538" s="4">
        <v>0</v>
      </c>
      <c r="H1538" s="4">
        <v>9862830</v>
      </c>
      <c r="I1538" s="3" t="s">
        <v>795</v>
      </c>
      <c r="J1538" s="4">
        <v>3</v>
      </c>
      <c r="K1538" s="3" t="s">
        <v>21</v>
      </c>
      <c r="L1538" s="4">
        <v>746916</v>
      </c>
      <c r="M1538" s="1">
        <f>O1538*J1538*K1538</f>
        <v>0</v>
      </c>
      <c r="N1538" s="3"/>
      <c r="O1538" s="2">
        <f>L1538/J1538*(1-K1538)</f>
        <v>248972</v>
      </c>
    </row>
    <row r="1539" ht="14.25">
      <c r="A1539" s="3" t="s">
        <v>722</v>
      </c>
      <c r="B1539" s="3" t="s">
        <v>722</v>
      </c>
      <c r="C1539" s="3" t="s">
        <v>1188</v>
      </c>
      <c r="D1539" s="3" t="s">
        <v>17</v>
      </c>
      <c r="E1539" s="3" t="s">
        <v>1189</v>
      </c>
      <c r="F1539" s="3" t="s">
        <v>19</v>
      </c>
      <c r="G1539" s="4">
        <v>0</v>
      </c>
      <c r="H1539" s="4">
        <v>9862830</v>
      </c>
      <c r="I1539" s="3" t="s">
        <v>482</v>
      </c>
      <c r="J1539" s="4">
        <v>12</v>
      </c>
      <c r="K1539" s="3" t="s">
        <v>21</v>
      </c>
      <c r="L1539" s="4">
        <v>624180</v>
      </c>
      <c r="M1539" s="1">
        <f>O1539*J1539*K1539</f>
        <v>0</v>
      </c>
      <c r="N1539" s="3"/>
      <c r="O1539" s="2">
        <f>L1539/J1539*(1-K1539)</f>
        <v>52015</v>
      </c>
    </row>
    <row r="1540" ht="14.25">
      <c r="A1540" s="3" t="s">
        <v>722</v>
      </c>
      <c r="B1540" s="3" t="s">
        <v>722</v>
      </c>
      <c r="C1540" s="3" t="s">
        <v>1188</v>
      </c>
      <c r="D1540" s="3" t="s">
        <v>17</v>
      </c>
      <c r="E1540" s="3" t="s">
        <v>1189</v>
      </c>
      <c r="F1540" s="3" t="s">
        <v>19</v>
      </c>
      <c r="G1540" s="4">
        <v>0</v>
      </c>
      <c r="H1540" s="4">
        <v>9862830</v>
      </c>
      <c r="I1540" s="3" t="s">
        <v>611</v>
      </c>
      <c r="J1540" s="4">
        <v>6</v>
      </c>
      <c r="K1540" s="3" t="s">
        <v>21</v>
      </c>
      <c r="L1540" s="4">
        <v>934092</v>
      </c>
      <c r="M1540" s="1">
        <f>O1540*J1540*K1540</f>
        <v>0</v>
      </c>
      <c r="N1540" s="3"/>
      <c r="O1540" s="2">
        <f>L1540/J1540*(1-K1540)</f>
        <v>155682</v>
      </c>
    </row>
    <row r="1541" ht="14.25">
      <c r="A1541" s="3" t="s">
        <v>722</v>
      </c>
      <c r="B1541" s="3" t="s">
        <v>722</v>
      </c>
      <c r="C1541" s="3" t="s">
        <v>1188</v>
      </c>
      <c r="D1541" s="3" t="s">
        <v>17</v>
      </c>
      <c r="E1541" s="3" t="s">
        <v>1189</v>
      </c>
      <c r="F1541" s="3" t="s">
        <v>19</v>
      </c>
      <c r="G1541" s="4">
        <v>0</v>
      </c>
      <c r="H1541" s="4">
        <v>9862830</v>
      </c>
      <c r="I1541" s="3" t="s">
        <v>748</v>
      </c>
      <c r="J1541" s="4">
        <v>2</v>
      </c>
      <c r="K1541" s="3" t="s">
        <v>21</v>
      </c>
      <c r="L1541" s="4">
        <v>704568</v>
      </c>
      <c r="M1541" s="1">
        <f>O1541*J1541*K1541</f>
        <v>0</v>
      </c>
      <c r="N1541" s="3"/>
      <c r="O1541" s="2">
        <f>L1541/J1541*(1-K1541)</f>
        <v>352284</v>
      </c>
    </row>
    <row r="1542" ht="14.25">
      <c r="A1542" s="3" t="s">
        <v>722</v>
      </c>
      <c r="B1542" s="3" t="s">
        <v>722</v>
      </c>
      <c r="C1542" s="3" t="s">
        <v>1188</v>
      </c>
      <c r="D1542" s="3" t="s">
        <v>17</v>
      </c>
      <c r="E1542" s="3" t="s">
        <v>1189</v>
      </c>
      <c r="F1542" s="3" t="s">
        <v>19</v>
      </c>
      <c r="G1542" s="4">
        <v>0</v>
      </c>
      <c r="H1542" s="4">
        <v>9862830</v>
      </c>
      <c r="I1542" s="3" t="s">
        <v>210</v>
      </c>
      <c r="J1542" s="4">
        <v>12</v>
      </c>
      <c r="K1542" s="3" t="s">
        <v>21</v>
      </c>
      <c r="L1542" s="4">
        <v>506664</v>
      </c>
      <c r="M1542" s="1">
        <f>O1542*J1542*K1542</f>
        <v>0</v>
      </c>
      <c r="N1542" s="3"/>
      <c r="O1542" s="2">
        <f>L1542/J1542*(1-K1542)</f>
        <v>42222</v>
      </c>
    </row>
    <row r="1543" ht="14.25">
      <c r="A1543" s="3" t="s">
        <v>722</v>
      </c>
      <c r="B1543" s="3" t="s">
        <v>722</v>
      </c>
      <c r="C1543" s="3" t="s">
        <v>1188</v>
      </c>
      <c r="D1543" s="3" t="s">
        <v>17</v>
      </c>
      <c r="E1543" s="3" t="s">
        <v>1189</v>
      </c>
      <c r="F1543" s="3" t="s">
        <v>19</v>
      </c>
      <c r="G1543" s="4">
        <v>0</v>
      </c>
      <c r="H1543" s="4">
        <v>9862830</v>
      </c>
      <c r="I1543" s="3" t="s">
        <v>67</v>
      </c>
      <c r="J1543" s="4">
        <v>2</v>
      </c>
      <c r="K1543" s="3" t="s">
        <v>21</v>
      </c>
      <c r="L1543" s="4">
        <v>722610</v>
      </c>
      <c r="M1543" s="1">
        <f>O1543*J1543*K1543</f>
        <v>0</v>
      </c>
      <c r="N1543" s="3"/>
      <c r="O1543" s="2">
        <f>L1543/J1543*(1-K1543)</f>
        <v>361305</v>
      </c>
    </row>
    <row r="1544" ht="14.25">
      <c r="A1544" s="3" t="s">
        <v>722</v>
      </c>
      <c r="B1544" s="3" t="s">
        <v>1190</v>
      </c>
      <c r="C1544" s="3" t="s">
        <v>1191</v>
      </c>
      <c r="D1544" s="3" t="s">
        <v>17</v>
      </c>
      <c r="E1544" s="3" t="s">
        <v>85</v>
      </c>
      <c r="F1544" s="3" t="s">
        <v>19</v>
      </c>
      <c r="G1544" s="4">
        <v>0</v>
      </c>
      <c r="H1544" s="4">
        <v>13104000</v>
      </c>
      <c r="I1544" s="3" t="s">
        <v>122</v>
      </c>
      <c r="J1544" s="4">
        <v>20</v>
      </c>
      <c r="K1544" s="3" t="s">
        <v>21</v>
      </c>
      <c r="L1544" s="4">
        <v>3600000</v>
      </c>
      <c r="M1544" s="1">
        <f>O1544*J1544*K1544</f>
        <v>0</v>
      </c>
      <c r="N1544" s="3"/>
      <c r="O1544" s="2">
        <f>L1544/J1544*(1-K1544)</f>
        <v>180000</v>
      </c>
    </row>
    <row r="1545" ht="14.25">
      <c r="A1545" s="3" t="s">
        <v>722</v>
      </c>
      <c r="B1545" s="3" t="s">
        <v>1190</v>
      </c>
      <c r="C1545" s="3" t="s">
        <v>1191</v>
      </c>
      <c r="D1545" s="3" t="s">
        <v>17</v>
      </c>
      <c r="E1545" s="3" t="s">
        <v>85</v>
      </c>
      <c r="F1545" s="3" t="s">
        <v>19</v>
      </c>
      <c r="G1545" s="4">
        <v>0</v>
      </c>
      <c r="H1545" s="4">
        <v>13104000</v>
      </c>
      <c r="I1545" s="3" t="s">
        <v>1192</v>
      </c>
      <c r="J1545" s="4">
        <v>24</v>
      </c>
      <c r="K1545" s="3" t="s">
        <v>21</v>
      </c>
      <c r="L1545" s="4">
        <v>1152000</v>
      </c>
      <c r="M1545" s="1">
        <f>O1545*J1545*K1545</f>
        <v>0</v>
      </c>
      <c r="N1545" s="3"/>
      <c r="O1545" s="2">
        <f>L1545/J1545*(1-K1545)</f>
        <v>48000</v>
      </c>
    </row>
    <row r="1546" ht="14.25">
      <c r="A1546" s="3" t="s">
        <v>722</v>
      </c>
      <c r="B1546" s="3" t="s">
        <v>1190</v>
      </c>
      <c r="C1546" s="3" t="s">
        <v>1191</v>
      </c>
      <c r="D1546" s="3" t="s">
        <v>17</v>
      </c>
      <c r="E1546" s="3" t="s">
        <v>85</v>
      </c>
      <c r="F1546" s="3" t="s">
        <v>19</v>
      </c>
      <c r="G1546" s="4">
        <v>0</v>
      </c>
      <c r="H1546" s="4">
        <v>13104000</v>
      </c>
      <c r="I1546" s="3" t="s">
        <v>244</v>
      </c>
      <c r="J1546" s="4">
        <v>24</v>
      </c>
      <c r="K1546" s="3" t="s">
        <v>21</v>
      </c>
      <c r="L1546" s="4">
        <v>1152000</v>
      </c>
      <c r="M1546" s="1">
        <f>O1546*J1546*K1546</f>
        <v>0</v>
      </c>
      <c r="N1546" s="3"/>
      <c r="O1546" s="2">
        <f>L1546/J1546*(1-K1546)</f>
        <v>48000</v>
      </c>
    </row>
    <row r="1547" ht="14.25">
      <c r="A1547" s="3" t="s">
        <v>722</v>
      </c>
      <c r="B1547" s="3" t="s">
        <v>1190</v>
      </c>
      <c r="C1547" s="3" t="s">
        <v>1191</v>
      </c>
      <c r="D1547" s="3" t="s">
        <v>17</v>
      </c>
      <c r="E1547" s="3" t="s">
        <v>85</v>
      </c>
      <c r="F1547" s="3" t="s">
        <v>19</v>
      </c>
      <c r="G1547" s="4">
        <v>0</v>
      </c>
      <c r="H1547" s="4">
        <v>13104000</v>
      </c>
      <c r="I1547" s="3" t="s">
        <v>817</v>
      </c>
      <c r="J1547" s="4">
        <v>40</v>
      </c>
      <c r="K1547" s="3" t="s">
        <v>21</v>
      </c>
      <c r="L1547" s="4">
        <v>7200000</v>
      </c>
      <c r="M1547" s="1">
        <f>O1547*J1547*K1547</f>
        <v>0</v>
      </c>
      <c r="N1547" s="3"/>
      <c r="O1547" s="2">
        <f>L1547/J1547*(1-K1547)</f>
        <v>180000</v>
      </c>
    </row>
    <row r="1548" ht="14.25">
      <c r="A1548" s="3" t="s">
        <v>722</v>
      </c>
      <c r="B1548" s="3" t="s">
        <v>722</v>
      </c>
      <c r="C1548" s="3" t="s">
        <v>1193</v>
      </c>
      <c r="D1548" s="3" t="s">
        <v>17</v>
      </c>
      <c r="E1548" s="3" t="s">
        <v>1194</v>
      </c>
      <c r="F1548" s="3" t="s">
        <v>19</v>
      </c>
      <c r="G1548" s="4">
        <v>0</v>
      </c>
      <c r="H1548" s="4">
        <v>120000</v>
      </c>
      <c r="I1548" s="3" t="s">
        <v>1053</v>
      </c>
      <c r="J1548" s="4">
        <v>1</v>
      </c>
      <c r="K1548" s="3" t="s">
        <v>21</v>
      </c>
      <c r="L1548" s="4">
        <v>120000</v>
      </c>
      <c r="M1548" s="1">
        <f>O1548*J1548*K1548</f>
        <v>0</v>
      </c>
      <c r="N1548" s="3"/>
      <c r="O1548" s="2">
        <f>L1548/J1548*(1-K1548)</f>
        <v>120000</v>
      </c>
    </row>
    <row r="1549" ht="14.25">
      <c r="A1549" s="3" t="s">
        <v>722</v>
      </c>
      <c r="B1549" s="3" t="s">
        <v>722</v>
      </c>
      <c r="C1549" s="3" t="s">
        <v>1195</v>
      </c>
      <c r="D1549" s="3" t="s">
        <v>17</v>
      </c>
      <c r="E1549" s="3" t="s">
        <v>1196</v>
      </c>
      <c r="F1549" s="3" t="s">
        <v>19</v>
      </c>
      <c r="G1549" s="4">
        <v>0</v>
      </c>
      <c r="H1549" s="4">
        <v>16500000</v>
      </c>
      <c r="I1549" s="3" t="s">
        <v>121</v>
      </c>
      <c r="J1549" s="4">
        <v>5</v>
      </c>
      <c r="K1549" s="3" t="s">
        <v>21</v>
      </c>
      <c r="L1549" s="4">
        <v>16500000</v>
      </c>
      <c r="M1549" s="1">
        <f>O1549*J1549*K1549</f>
        <v>0</v>
      </c>
      <c r="N1549" s="3"/>
      <c r="O1549" s="2">
        <f>L1549/J1549*(1-K1549)</f>
        <v>3300000</v>
      </c>
    </row>
    <row r="1550" ht="14.25">
      <c r="A1550" s="3" t="s">
        <v>722</v>
      </c>
      <c r="B1550" s="3" t="s">
        <v>722</v>
      </c>
      <c r="C1550" s="3" t="s">
        <v>1197</v>
      </c>
      <c r="D1550" s="3" t="s">
        <v>17</v>
      </c>
      <c r="E1550" s="3" t="s">
        <v>1198</v>
      </c>
      <c r="F1550" s="3" t="s">
        <v>19</v>
      </c>
      <c r="G1550" s="4">
        <v>0</v>
      </c>
      <c r="H1550" s="4">
        <v>7400000</v>
      </c>
      <c r="I1550" s="3" t="s">
        <v>121</v>
      </c>
      <c r="J1550" s="4">
        <v>2</v>
      </c>
      <c r="K1550" s="3" t="s">
        <v>21</v>
      </c>
      <c r="L1550" s="4">
        <v>7400000</v>
      </c>
      <c r="M1550" s="1">
        <f>O1550*J1550*K1550</f>
        <v>0</v>
      </c>
      <c r="N1550" s="3"/>
      <c r="O1550" s="2">
        <f>L1550/J1550*(1-K1550)</f>
        <v>3700000</v>
      </c>
    </row>
    <row r="1551" ht="14.25">
      <c r="A1551" s="3" t="s">
        <v>722</v>
      </c>
      <c r="B1551" s="3" t="s">
        <v>722</v>
      </c>
      <c r="C1551" s="3" t="s">
        <v>1199</v>
      </c>
      <c r="D1551" s="3" t="s">
        <v>17</v>
      </c>
      <c r="E1551" s="3" t="s">
        <v>360</v>
      </c>
      <c r="F1551" s="3" t="s">
        <v>19</v>
      </c>
      <c r="G1551" s="4">
        <v>0</v>
      </c>
      <c r="H1551" s="4">
        <v>1104000</v>
      </c>
      <c r="I1551" s="3" t="s">
        <v>108</v>
      </c>
      <c r="J1551" s="4">
        <v>48</v>
      </c>
      <c r="K1551" s="3" t="s">
        <v>21</v>
      </c>
      <c r="L1551" s="4">
        <v>1104000</v>
      </c>
      <c r="M1551" s="1">
        <f>O1551*J1551*K1551</f>
        <v>0</v>
      </c>
      <c r="N1551" s="3"/>
      <c r="O1551" s="2">
        <f>L1551/J1551*(1-K1551)</f>
        <v>23000</v>
      </c>
    </row>
    <row r="1552" ht="14.25">
      <c r="A1552" s="3" t="s">
        <v>722</v>
      </c>
      <c r="B1552" s="3" t="s">
        <v>818</v>
      </c>
      <c r="C1552" s="3" t="s">
        <v>1200</v>
      </c>
      <c r="D1552" s="3" t="s">
        <v>17</v>
      </c>
      <c r="E1552" s="3" t="s">
        <v>23</v>
      </c>
      <c r="F1552" s="3" t="s">
        <v>19</v>
      </c>
      <c r="G1552" s="4">
        <v>0</v>
      </c>
      <c r="H1552" s="4">
        <v>4100000</v>
      </c>
      <c r="I1552" s="3" t="s">
        <v>102</v>
      </c>
      <c r="J1552" s="4">
        <v>2</v>
      </c>
      <c r="K1552" s="3" t="s">
        <v>21</v>
      </c>
      <c r="L1552" s="4">
        <v>4100000</v>
      </c>
      <c r="M1552" s="1">
        <f>O1552*J1552*K1552</f>
        <v>0</v>
      </c>
      <c r="N1552" s="3"/>
      <c r="O1552" s="2">
        <f>L1552/J1552*(1-K1552)</f>
        <v>2050000</v>
      </c>
    </row>
    <row r="1553" ht="14.25">
      <c r="A1553" s="3" t="s">
        <v>739</v>
      </c>
      <c r="B1553" s="3" t="s">
        <v>1201</v>
      </c>
      <c r="C1553" s="3" t="s">
        <v>1202</v>
      </c>
      <c r="D1553" s="3" t="s">
        <v>17</v>
      </c>
      <c r="E1553" s="3" t="s">
        <v>34</v>
      </c>
      <c r="F1553" s="3" t="s">
        <v>19</v>
      </c>
      <c r="G1553" s="4">
        <v>0</v>
      </c>
      <c r="H1553" s="4">
        <v>8140000</v>
      </c>
      <c r="I1553" s="3" t="s">
        <v>172</v>
      </c>
      <c r="J1553" s="4">
        <v>3</v>
      </c>
      <c r="K1553" s="3" t="s">
        <v>21</v>
      </c>
      <c r="L1553" s="4">
        <v>1950000</v>
      </c>
      <c r="M1553" s="1">
        <f>O1553*J1553*K1553</f>
        <v>0</v>
      </c>
      <c r="N1553" s="3"/>
      <c r="O1553" s="2">
        <f>L1553/J1553*(1-K1553)</f>
        <v>650000</v>
      </c>
    </row>
    <row r="1554" ht="14.25">
      <c r="A1554" s="3" t="s">
        <v>739</v>
      </c>
      <c r="B1554" s="3" t="s">
        <v>1201</v>
      </c>
      <c r="C1554" s="3" t="s">
        <v>1202</v>
      </c>
      <c r="D1554" s="3" t="s">
        <v>17</v>
      </c>
      <c r="E1554" s="3" t="s">
        <v>34</v>
      </c>
      <c r="F1554" s="3" t="s">
        <v>19</v>
      </c>
      <c r="G1554" s="4">
        <v>0</v>
      </c>
      <c r="H1554" s="4">
        <v>8140000</v>
      </c>
      <c r="I1554" s="3" t="s">
        <v>701</v>
      </c>
      <c r="J1554" s="4">
        <v>7</v>
      </c>
      <c r="K1554" s="3" t="s">
        <v>21</v>
      </c>
      <c r="L1554" s="4">
        <v>1540000</v>
      </c>
      <c r="M1554" s="1">
        <f>O1554*J1554*K1554</f>
        <v>0</v>
      </c>
      <c r="N1554" s="3"/>
      <c r="O1554" s="2">
        <f>L1554/J1554*(1-K1554)</f>
        <v>220000</v>
      </c>
    </row>
    <row r="1555" ht="14.25">
      <c r="A1555" s="3" t="s">
        <v>739</v>
      </c>
      <c r="B1555" s="3" t="s">
        <v>1201</v>
      </c>
      <c r="C1555" s="3" t="s">
        <v>1202</v>
      </c>
      <c r="D1555" s="3" t="s">
        <v>17</v>
      </c>
      <c r="E1555" s="3" t="s">
        <v>34</v>
      </c>
      <c r="F1555" s="3" t="s">
        <v>19</v>
      </c>
      <c r="G1555" s="4">
        <v>0</v>
      </c>
      <c r="H1555" s="4">
        <v>8140000</v>
      </c>
      <c r="I1555" s="3" t="s">
        <v>35</v>
      </c>
      <c r="J1555" s="4">
        <v>1</v>
      </c>
      <c r="K1555" s="3" t="s">
        <v>21</v>
      </c>
      <c r="L1555" s="4">
        <v>3650000</v>
      </c>
      <c r="M1555" s="1">
        <f>O1555*J1555*K1555</f>
        <v>0</v>
      </c>
      <c r="N1555" s="3"/>
      <c r="O1555" s="2">
        <f>L1555/J1555*(1-K1555)</f>
        <v>3650000</v>
      </c>
    </row>
    <row r="1556" ht="14.25">
      <c r="A1556" s="3" t="s">
        <v>739</v>
      </c>
      <c r="B1556" s="3" t="s">
        <v>1201</v>
      </c>
      <c r="C1556" s="3" t="s">
        <v>1202</v>
      </c>
      <c r="D1556" s="3" t="s">
        <v>17</v>
      </c>
      <c r="E1556" s="3" t="s">
        <v>34</v>
      </c>
      <c r="F1556" s="3" t="s">
        <v>19</v>
      </c>
      <c r="G1556" s="4">
        <v>0</v>
      </c>
      <c r="H1556" s="4">
        <v>8140000</v>
      </c>
      <c r="I1556" s="3" t="s">
        <v>418</v>
      </c>
      <c r="J1556" s="4">
        <v>1</v>
      </c>
      <c r="K1556" s="3" t="s">
        <v>21</v>
      </c>
      <c r="L1556" s="4">
        <v>1000000</v>
      </c>
      <c r="M1556" s="1">
        <f>O1556*J1556*K1556</f>
        <v>0</v>
      </c>
      <c r="N1556" s="3"/>
      <c r="O1556" s="2">
        <f>L1556/J1556*(1-K1556)</f>
        <v>1000000</v>
      </c>
    </row>
    <row r="1557" ht="14.25">
      <c r="A1557" s="3" t="s">
        <v>739</v>
      </c>
      <c r="B1557" s="3" t="s">
        <v>739</v>
      </c>
      <c r="C1557" s="3" t="s">
        <v>1203</v>
      </c>
      <c r="D1557" s="3" t="s">
        <v>17</v>
      </c>
      <c r="E1557" s="3" t="s">
        <v>1204</v>
      </c>
      <c r="F1557" s="3" t="s">
        <v>19</v>
      </c>
      <c r="G1557" s="4">
        <v>0</v>
      </c>
      <c r="H1557" s="4">
        <v>7760000</v>
      </c>
      <c r="I1557" s="3" t="s">
        <v>497</v>
      </c>
      <c r="J1557" s="4">
        <v>1</v>
      </c>
      <c r="K1557" s="3" t="s">
        <v>21</v>
      </c>
      <c r="L1557" s="4">
        <v>4160000</v>
      </c>
      <c r="M1557" s="1">
        <f>O1557*J1557*K1557</f>
        <v>0</v>
      </c>
      <c r="N1557" s="3"/>
      <c r="O1557" s="2">
        <f>L1557/J1557*(1-K1557)</f>
        <v>4160000</v>
      </c>
    </row>
    <row r="1558" ht="14.25">
      <c r="A1558" s="3" t="s">
        <v>739</v>
      </c>
      <c r="B1558" s="3" t="s">
        <v>739</v>
      </c>
      <c r="C1558" s="3" t="s">
        <v>1203</v>
      </c>
      <c r="D1558" s="3" t="s">
        <v>17</v>
      </c>
      <c r="E1558" s="3" t="s">
        <v>1204</v>
      </c>
      <c r="F1558" s="3" t="s">
        <v>19</v>
      </c>
      <c r="G1558" s="4">
        <v>0</v>
      </c>
      <c r="H1558" s="4">
        <v>7760000</v>
      </c>
      <c r="I1558" s="3" t="s">
        <v>121</v>
      </c>
      <c r="J1558" s="4">
        <v>1</v>
      </c>
      <c r="K1558" s="3" t="s">
        <v>21</v>
      </c>
      <c r="L1558" s="4">
        <v>3600000</v>
      </c>
      <c r="M1558" s="1">
        <f>O1558*J1558*K1558</f>
        <v>0</v>
      </c>
      <c r="N1558" s="3"/>
      <c r="O1558" s="2">
        <f>L1558/J1558*(1-K1558)</f>
        <v>3600000</v>
      </c>
    </row>
    <row r="1559" ht="14.25">
      <c r="A1559" s="3" t="s">
        <v>739</v>
      </c>
      <c r="B1559" s="3" t="s">
        <v>739</v>
      </c>
      <c r="C1559" s="3" t="s">
        <v>1205</v>
      </c>
      <c r="D1559" s="3" t="s">
        <v>17</v>
      </c>
      <c r="E1559" s="3" t="s">
        <v>824</v>
      </c>
      <c r="F1559" s="3" t="s">
        <v>19</v>
      </c>
      <c r="G1559" s="4">
        <v>0</v>
      </c>
      <c r="H1559" s="4">
        <v>1440000</v>
      </c>
      <c r="I1559" s="3" t="s">
        <v>287</v>
      </c>
      <c r="J1559" s="4">
        <v>12</v>
      </c>
      <c r="K1559" s="3" t="s">
        <v>21</v>
      </c>
      <c r="L1559" s="4">
        <v>1440000</v>
      </c>
      <c r="M1559" s="1">
        <f>O1559*J1559*K1559</f>
        <v>0</v>
      </c>
      <c r="N1559" s="3"/>
      <c r="O1559" s="2">
        <f>L1559/J1559*(1-K1559)</f>
        <v>120000</v>
      </c>
    </row>
    <row r="1560" ht="14.25">
      <c r="A1560" s="3" t="s">
        <v>739</v>
      </c>
      <c r="B1560" s="3" t="s">
        <v>739</v>
      </c>
      <c r="C1560" s="3" t="s">
        <v>1206</v>
      </c>
      <c r="D1560" s="3" t="s">
        <v>17</v>
      </c>
      <c r="E1560" s="3" t="s">
        <v>360</v>
      </c>
      <c r="F1560" s="3" t="s">
        <v>19</v>
      </c>
      <c r="G1560" s="4">
        <v>0</v>
      </c>
      <c r="H1560" s="4">
        <v>1080000</v>
      </c>
      <c r="I1560" s="3" t="s">
        <v>32</v>
      </c>
      <c r="J1560" s="4">
        <v>48</v>
      </c>
      <c r="K1560" s="3" t="s">
        <v>21</v>
      </c>
      <c r="L1560" s="4">
        <v>1080000</v>
      </c>
      <c r="M1560" s="1">
        <f>O1560*J1560*K1560</f>
        <v>0</v>
      </c>
      <c r="N1560" s="3"/>
      <c r="O1560" s="2">
        <f>L1560/J1560*(1-K1560)</f>
        <v>22500</v>
      </c>
    </row>
    <row r="1561" ht="14.25">
      <c r="A1561" s="3" t="s">
        <v>739</v>
      </c>
      <c r="B1561" s="3" t="s">
        <v>739</v>
      </c>
      <c r="C1561" s="3" t="s">
        <v>1207</v>
      </c>
      <c r="D1561" s="3" t="s">
        <v>17</v>
      </c>
      <c r="E1561" s="3" t="s">
        <v>340</v>
      </c>
      <c r="F1561" s="3" t="s">
        <v>19</v>
      </c>
      <c r="G1561" s="4">
        <v>0</v>
      </c>
      <c r="H1561" s="4">
        <v>2850000</v>
      </c>
      <c r="I1561" s="3" t="s">
        <v>649</v>
      </c>
      <c r="J1561" s="4">
        <v>12</v>
      </c>
      <c r="K1561" s="3" t="s">
        <v>21</v>
      </c>
      <c r="L1561" s="4">
        <v>2100000</v>
      </c>
      <c r="M1561" s="1">
        <f>O1561*J1561*K1561</f>
        <v>0</v>
      </c>
      <c r="N1561" s="3"/>
      <c r="O1561" s="2">
        <f>L1561/J1561*(1-K1561)</f>
        <v>175000</v>
      </c>
    </row>
    <row r="1562" ht="14.25">
      <c r="A1562" s="3" t="s">
        <v>739</v>
      </c>
      <c r="B1562" s="3" t="s">
        <v>739</v>
      </c>
      <c r="C1562" s="3" t="s">
        <v>1207</v>
      </c>
      <c r="D1562" s="3" t="s">
        <v>17</v>
      </c>
      <c r="E1562" s="3" t="s">
        <v>340</v>
      </c>
      <c r="F1562" s="3" t="s">
        <v>19</v>
      </c>
      <c r="G1562" s="4">
        <v>0</v>
      </c>
      <c r="H1562" s="4">
        <v>2850000</v>
      </c>
      <c r="I1562" s="3" t="s">
        <v>395</v>
      </c>
      <c r="J1562" s="4">
        <v>6</v>
      </c>
      <c r="K1562" s="3" t="s">
        <v>21</v>
      </c>
      <c r="L1562" s="4">
        <v>750000</v>
      </c>
      <c r="M1562" s="1">
        <f>O1562*J1562*K1562</f>
        <v>0</v>
      </c>
      <c r="N1562" s="3"/>
      <c r="O1562" s="2">
        <f>L1562/J1562*(1-K1562)</f>
        <v>125000</v>
      </c>
    </row>
    <row r="1563" ht="14.25">
      <c r="A1563" s="3" t="s">
        <v>766</v>
      </c>
      <c r="B1563" s="3" t="s">
        <v>766</v>
      </c>
      <c r="C1563" s="3" t="s">
        <v>1208</v>
      </c>
      <c r="D1563" s="3" t="s">
        <v>17</v>
      </c>
      <c r="E1563" s="3" t="s">
        <v>782</v>
      </c>
      <c r="F1563" s="3" t="s">
        <v>19</v>
      </c>
      <c r="G1563" s="4">
        <v>0</v>
      </c>
      <c r="H1563" s="4">
        <v>0</v>
      </c>
      <c r="I1563" s="3" t="s">
        <v>1209</v>
      </c>
      <c r="J1563" s="4">
        <v>4</v>
      </c>
      <c r="K1563" s="3" t="s">
        <v>21</v>
      </c>
      <c r="L1563" s="4">
        <v>0</v>
      </c>
      <c r="M1563" s="1">
        <f>O1563*J1563*K1563</f>
        <v>0</v>
      </c>
      <c r="N1563" s="3"/>
      <c r="O1563" s="2">
        <f>L1563/J1563*(1-K1563)</f>
        <v>0</v>
      </c>
    </row>
    <row r="1564" ht="14.25">
      <c r="A1564" s="3" t="s">
        <v>766</v>
      </c>
      <c r="B1564" s="3" t="s">
        <v>878</v>
      </c>
      <c r="C1564" s="3" t="s">
        <v>1210</v>
      </c>
      <c r="D1564" s="3" t="s">
        <v>17</v>
      </c>
      <c r="E1564" s="3" t="s">
        <v>451</v>
      </c>
      <c r="F1564" s="3" t="s">
        <v>19</v>
      </c>
      <c r="G1564" s="4">
        <v>0</v>
      </c>
      <c r="H1564" s="4">
        <v>9000000</v>
      </c>
      <c r="I1564" s="3" t="s">
        <v>61</v>
      </c>
      <c r="J1564" s="4">
        <v>1</v>
      </c>
      <c r="K1564" s="3" t="s">
        <v>21</v>
      </c>
      <c r="L1564" s="4">
        <v>4500000</v>
      </c>
      <c r="M1564" s="1">
        <f>O1564*J1564*K1564</f>
        <v>0</v>
      </c>
      <c r="N1564" s="3"/>
      <c r="O1564" s="2">
        <f>L1564/J1564*(1-K1564)</f>
        <v>4500000</v>
      </c>
    </row>
    <row r="1565" ht="14.25">
      <c r="A1565" s="3" t="s">
        <v>766</v>
      </c>
      <c r="B1565" s="3" t="s">
        <v>878</v>
      </c>
      <c r="C1565" s="3" t="s">
        <v>1210</v>
      </c>
      <c r="D1565" s="3" t="s">
        <v>17</v>
      </c>
      <c r="E1565" s="3" t="s">
        <v>451</v>
      </c>
      <c r="F1565" s="3" t="s">
        <v>19</v>
      </c>
      <c r="G1565" s="4">
        <v>0</v>
      </c>
      <c r="H1565" s="4">
        <v>9000000</v>
      </c>
      <c r="I1565" s="3" t="s">
        <v>219</v>
      </c>
      <c r="J1565" s="4">
        <v>1</v>
      </c>
      <c r="K1565" s="3" t="s">
        <v>21</v>
      </c>
      <c r="L1565" s="4">
        <v>4500000</v>
      </c>
      <c r="M1565" s="1">
        <f>O1565*J1565*K1565</f>
        <v>0</v>
      </c>
      <c r="N1565" s="3"/>
      <c r="O1565" s="2">
        <f>L1565/J1565*(1-K1565)</f>
        <v>4500000</v>
      </c>
    </row>
    <row r="1566" ht="14.25">
      <c r="A1566" s="3" t="s">
        <v>766</v>
      </c>
      <c r="B1566" s="3" t="s">
        <v>1211</v>
      </c>
      <c r="C1566" s="3" t="s">
        <v>1212</v>
      </c>
      <c r="D1566" s="3" t="s">
        <v>17</v>
      </c>
      <c r="E1566" s="3" t="s">
        <v>312</v>
      </c>
      <c r="F1566" s="3" t="s">
        <v>19</v>
      </c>
      <c r="G1566" s="4">
        <v>0</v>
      </c>
      <c r="H1566" s="4">
        <v>90834780</v>
      </c>
      <c r="I1566" s="3" t="s">
        <v>731</v>
      </c>
      <c r="J1566" s="4">
        <v>49</v>
      </c>
      <c r="K1566" s="3" t="s">
        <v>21</v>
      </c>
      <c r="L1566" s="4">
        <v>23871820</v>
      </c>
      <c r="M1566" s="1">
        <f>O1566*J1566*K1566</f>
        <v>0</v>
      </c>
      <c r="N1566" s="3"/>
      <c r="O1566" s="2">
        <f>L1566/J1566*(1-K1566)</f>
        <v>487180</v>
      </c>
    </row>
    <row r="1567" ht="14.25">
      <c r="A1567" s="3" t="s">
        <v>766</v>
      </c>
      <c r="B1567" s="3" t="s">
        <v>1211</v>
      </c>
      <c r="C1567" s="3" t="s">
        <v>1212</v>
      </c>
      <c r="D1567" s="3" t="s">
        <v>17</v>
      </c>
      <c r="E1567" s="3" t="s">
        <v>312</v>
      </c>
      <c r="F1567" s="3" t="s">
        <v>19</v>
      </c>
      <c r="G1567" s="4">
        <v>0</v>
      </c>
      <c r="H1567" s="4">
        <v>90834780</v>
      </c>
      <c r="I1567" s="3" t="s">
        <v>732</v>
      </c>
      <c r="J1567" s="4">
        <v>29</v>
      </c>
      <c r="K1567" s="3" t="s">
        <v>21</v>
      </c>
      <c r="L1567" s="4">
        <v>14128220</v>
      </c>
      <c r="M1567" s="1">
        <f>O1567*J1567*K1567</f>
        <v>0</v>
      </c>
      <c r="N1567" s="3"/>
      <c r="O1567" s="2">
        <f>L1567/J1567*(1-K1567)</f>
        <v>487180</v>
      </c>
    </row>
    <row r="1568" ht="14.25">
      <c r="A1568" s="3" t="s">
        <v>766</v>
      </c>
      <c r="B1568" s="3" t="s">
        <v>1211</v>
      </c>
      <c r="C1568" s="3" t="s">
        <v>1212</v>
      </c>
      <c r="D1568" s="3" t="s">
        <v>17</v>
      </c>
      <c r="E1568" s="3" t="s">
        <v>312</v>
      </c>
      <c r="F1568" s="3" t="s">
        <v>19</v>
      </c>
      <c r="G1568" s="4">
        <v>0</v>
      </c>
      <c r="H1568" s="4">
        <v>90834780</v>
      </c>
      <c r="I1568" s="3" t="s">
        <v>1213</v>
      </c>
      <c r="J1568" s="4">
        <v>1</v>
      </c>
      <c r="K1568" s="3" t="s">
        <v>21</v>
      </c>
      <c r="L1568" s="4">
        <v>6500000</v>
      </c>
      <c r="M1568" s="1">
        <f>O1568*J1568*K1568</f>
        <v>0</v>
      </c>
      <c r="N1568" s="3"/>
      <c r="O1568" s="2">
        <f>L1568/J1568*(1-K1568)</f>
        <v>6500000</v>
      </c>
    </row>
    <row r="1569" ht="14.25">
      <c r="A1569" s="3" t="s">
        <v>766</v>
      </c>
      <c r="B1569" s="3" t="s">
        <v>1211</v>
      </c>
      <c r="C1569" s="3" t="s">
        <v>1212</v>
      </c>
      <c r="D1569" s="3" t="s">
        <v>17</v>
      </c>
      <c r="E1569" s="3" t="s">
        <v>312</v>
      </c>
      <c r="F1569" s="3" t="s">
        <v>19</v>
      </c>
      <c r="G1569" s="4">
        <v>0</v>
      </c>
      <c r="H1569" s="4">
        <v>90834780</v>
      </c>
      <c r="I1569" s="3" t="s">
        <v>101</v>
      </c>
      <c r="J1569" s="4">
        <v>8</v>
      </c>
      <c r="K1569" s="3" t="s">
        <v>21</v>
      </c>
      <c r="L1569" s="4">
        <v>16000000</v>
      </c>
      <c r="M1569" s="1">
        <f>O1569*J1569*K1569</f>
        <v>0</v>
      </c>
      <c r="N1569" s="3"/>
      <c r="O1569" s="2">
        <f>L1569/J1569*(1-K1569)</f>
        <v>2000000</v>
      </c>
    </row>
    <row r="1570" ht="14.25">
      <c r="A1570" s="3" t="s">
        <v>766</v>
      </c>
      <c r="B1570" s="3" t="s">
        <v>1211</v>
      </c>
      <c r="C1570" s="3" t="s">
        <v>1212</v>
      </c>
      <c r="D1570" s="3" t="s">
        <v>17</v>
      </c>
      <c r="E1570" s="3" t="s">
        <v>312</v>
      </c>
      <c r="F1570" s="3" t="s">
        <v>19</v>
      </c>
      <c r="G1570" s="4">
        <v>0</v>
      </c>
      <c r="H1570" s="4">
        <v>90834780</v>
      </c>
      <c r="I1570" s="3" t="s">
        <v>102</v>
      </c>
      <c r="J1570" s="4">
        <v>8</v>
      </c>
      <c r="K1570" s="3" t="s">
        <v>21</v>
      </c>
      <c r="L1570" s="4">
        <v>16000000</v>
      </c>
      <c r="M1570" s="1">
        <f>O1570*J1570*K1570</f>
        <v>0</v>
      </c>
      <c r="N1570" s="3"/>
      <c r="O1570" s="2">
        <f>L1570/J1570*(1-K1570)</f>
        <v>2000000</v>
      </c>
    </row>
    <row r="1571" ht="14.25">
      <c r="A1571" s="3" t="s">
        <v>766</v>
      </c>
      <c r="B1571" s="3" t="s">
        <v>1211</v>
      </c>
      <c r="C1571" s="3" t="s">
        <v>1212</v>
      </c>
      <c r="D1571" s="3" t="s">
        <v>17</v>
      </c>
      <c r="E1571" s="3" t="s">
        <v>312</v>
      </c>
      <c r="F1571" s="3" t="s">
        <v>19</v>
      </c>
      <c r="G1571" s="4">
        <v>0</v>
      </c>
      <c r="H1571" s="4">
        <v>90834780</v>
      </c>
      <c r="I1571" s="3" t="s">
        <v>615</v>
      </c>
      <c r="J1571" s="4">
        <v>5</v>
      </c>
      <c r="K1571" s="3" t="s">
        <v>21</v>
      </c>
      <c r="L1571" s="4">
        <v>5807500</v>
      </c>
      <c r="M1571" s="1">
        <f>O1571*J1571*K1571</f>
        <v>0</v>
      </c>
      <c r="N1571" s="3"/>
      <c r="O1571" s="2">
        <f>L1571/J1571*(1-K1571)</f>
        <v>1161500</v>
      </c>
    </row>
    <row r="1572" ht="14.25">
      <c r="A1572" s="3" t="s">
        <v>766</v>
      </c>
      <c r="B1572" s="3" t="s">
        <v>1211</v>
      </c>
      <c r="C1572" s="3" t="s">
        <v>1212</v>
      </c>
      <c r="D1572" s="3" t="s">
        <v>17</v>
      </c>
      <c r="E1572" s="3" t="s">
        <v>312</v>
      </c>
      <c r="F1572" s="3" t="s">
        <v>19</v>
      </c>
      <c r="G1572" s="4">
        <v>0</v>
      </c>
      <c r="H1572" s="4">
        <v>90834780</v>
      </c>
      <c r="I1572" s="3" t="s">
        <v>197</v>
      </c>
      <c r="J1572" s="4">
        <v>100</v>
      </c>
      <c r="K1572" s="3" t="s">
        <v>353</v>
      </c>
      <c r="L1572" s="4">
        <v>4740000</v>
      </c>
      <c r="M1572" s="1">
        <f>O1572*J1572*K1572</f>
        <v>604350</v>
      </c>
      <c r="N1572" s="3"/>
      <c r="O1572" s="2">
        <f>L1572/J1572*(1-K1572)</f>
        <v>40290</v>
      </c>
    </row>
    <row r="1573" ht="14.25">
      <c r="A1573" s="3" t="s">
        <v>766</v>
      </c>
      <c r="B1573" s="3" t="s">
        <v>1211</v>
      </c>
      <c r="C1573" s="3" t="s">
        <v>1212</v>
      </c>
      <c r="D1573" s="3" t="s">
        <v>17</v>
      </c>
      <c r="E1573" s="3" t="s">
        <v>312</v>
      </c>
      <c r="F1573" s="3" t="s">
        <v>19</v>
      </c>
      <c r="G1573" s="4">
        <v>0</v>
      </c>
      <c r="H1573" s="4">
        <v>90834780</v>
      </c>
      <c r="I1573" s="3" t="s">
        <v>187</v>
      </c>
      <c r="J1573" s="4">
        <v>80</v>
      </c>
      <c r="K1573" s="3" t="s">
        <v>1214</v>
      </c>
      <c r="L1573" s="4">
        <v>3952000</v>
      </c>
      <c r="M1573" s="1">
        <f>O1573*J1573*K1573</f>
        <v>446971.20000000001</v>
      </c>
      <c r="N1573" s="3"/>
      <c r="O1573" s="2">
        <f>L1573/J1573*(1-K1573)</f>
        <v>42978</v>
      </c>
    </row>
    <row r="1574" ht="14.25">
      <c r="A1574" s="3" t="s">
        <v>766</v>
      </c>
      <c r="B1574" s="3" t="s">
        <v>1211</v>
      </c>
      <c r="C1574" s="3" t="s">
        <v>1212</v>
      </c>
      <c r="D1574" s="3" t="s">
        <v>17</v>
      </c>
      <c r="E1574" s="3" t="s">
        <v>312</v>
      </c>
      <c r="F1574" s="3" t="s">
        <v>19</v>
      </c>
      <c r="G1574" s="4">
        <v>0</v>
      </c>
      <c r="H1574" s="4">
        <v>90834780</v>
      </c>
      <c r="I1574" s="3" t="s">
        <v>591</v>
      </c>
      <c r="J1574" s="4">
        <v>4</v>
      </c>
      <c r="K1574" s="3" t="s">
        <v>21</v>
      </c>
      <c r="L1574" s="4">
        <v>1060000</v>
      </c>
      <c r="M1574" s="1">
        <f>O1574*J1574*K1574</f>
        <v>0</v>
      </c>
      <c r="N1574" s="3"/>
      <c r="O1574" s="2">
        <f>L1574/J1574*(1-K1574)</f>
        <v>265000</v>
      </c>
    </row>
    <row r="1575" ht="14.25">
      <c r="A1575" s="3" t="s">
        <v>766</v>
      </c>
      <c r="B1575" s="3" t="s">
        <v>766</v>
      </c>
      <c r="C1575" s="3" t="s">
        <v>1215</v>
      </c>
      <c r="D1575" s="3" t="s">
        <v>17</v>
      </c>
      <c r="E1575" s="3" t="s">
        <v>289</v>
      </c>
      <c r="F1575" s="3" t="s">
        <v>19</v>
      </c>
      <c r="G1575" s="4">
        <v>0</v>
      </c>
      <c r="H1575" s="4">
        <v>0</v>
      </c>
      <c r="I1575" s="3" t="s">
        <v>171</v>
      </c>
      <c r="J1575" s="4">
        <v>1</v>
      </c>
      <c r="K1575" s="3" t="s">
        <v>21</v>
      </c>
      <c r="L1575" s="4">
        <v>0</v>
      </c>
      <c r="M1575" s="1">
        <f>O1575*J1575*K1575</f>
        <v>0</v>
      </c>
      <c r="N1575" s="3"/>
      <c r="O1575" s="2">
        <f>L1575/J1575*(1-K1575)</f>
        <v>0</v>
      </c>
    </row>
    <row r="1576" ht="14.25">
      <c r="A1576" s="3" t="s">
        <v>766</v>
      </c>
      <c r="B1576" s="3" t="s">
        <v>766</v>
      </c>
      <c r="C1576" s="3" t="s">
        <v>1216</v>
      </c>
      <c r="D1576" s="3" t="s">
        <v>17</v>
      </c>
      <c r="E1576" s="3" t="s">
        <v>942</v>
      </c>
      <c r="F1576" s="3" t="s">
        <v>19</v>
      </c>
      <c r="G1576" s="4">
        <v>0</v>
      </c>
      <c r="H1576" s="4">
        <v>600000</v>
      </c>
      <c r="I1576" s="3" t="s">
        <v>454</v>
      </c>
      <c r="J1576" s="4">
        <v>12</v>
      </c>
      <c r="K1576" s="3" t="s">
        <v>21</v>
      </c>
      <c r="L1576" s="4">
        <v>600000</v>
      </c>
      <c r="M1576" s="1">
        <f>O1576*J1576*K1576</f>
        <v>0</v>
      </c>
      <c r="N1576" s="3"/>
      <c r="O1576" s="2">
        <f>L1576/J1576*(1-K1576)</f>
        <v>50000</v>
      </c>
    </row>
    <row r="1577" ht="14.25">
      <c r="A1577" s="3" t="s">
        <v>766</v>
      </c>
      <c r="B1577" s="3" t="s">
        <v>1211</v>
      </c>
      <c r="C1577" s="3" t="s">
        <v>1217</v>
      </c>
      <c r="D1577" s="3" t="s">
        <v>17</v>
      </c>
      <c r="E1577" s="3" t="s">
        <v>34</v>
      </c>
      <c r="F1577" s="3" t="s">
        <v>19</v>
      </c>
      <c r="G1577" s="4">
        <v>0</v>
      </c>
      <c r="H1577" s="4">
        <v>35555460</v>
      </c>
      <c r="I1577" s="3" t="s">
        <v>35</v>
      </c>
      <c r="J1577" s="4">
        <v>1</v>
      </c>
      <c r="K1577" s="3" t="s">
        <v>21</v>
      </c>
      <c r="L1577" s="4">
        <v>3650000</v>
      </c>
      <c r="M1577" s="1">
        <f>O1577*J1577*K1577</f>
        <v>0</v>
      </c>
      <c r="N1577" s="3"/>
      <c r="O1577" s="2">
        <f>L1577/J1577*(1-K1577)</f>
        <v>3650000</v>
      </c>
    </row>
    <row r="1578" ht="14.25">
      <c r="A1578" s="3" t="s">
        <v>766</v>
      </c>
      <c r="B1578" s="3" t="s">
        <v>1211</v>
      </c>
      <c r="C1578" s="3" t="s">
        <v>1217</v>
      </c>
      <c r="D1578" s="3" t="s">
        <v>17</v>
      </c>
      <c r="E1578" s="3" t="s">
        <v>34</v>
      </c>
      <c r="F1578" s="3" t="s">
        <v>19</v>
      </c>
      <c r="G1578" s="4">
        <v>0</v>
      </c>
      <c r="H1578" s="4">
        <v>35555460</v>
      </c>
      <c r="I1578" s="3" t="s">
        <v>497</v>
      </c>
      <c r="J1578" s="4">
        <v>2</v>
      </c>
      <c r="K1578" s="3" t="s">
        <v>21</v>
      </c>
      <c r="L1578" s="4">
        <v>7300000</v>
      </c>
      <c r="M1578" s="1">
        <f>O1578*J1578*K1578</f>
        <v>0</v>
      </c>
      <c r="N1578" s="3"/>
      <c r="O1578" s="2">
        <f>L1578/J1578*(1-K1578)</f>
        <v>3650000</v>
      </c>
    </row>
    <row r="1579" ht="14.25">
      <c r="A1579" s="3" t="s">
        <v>766</v>
      </c>
      <c r="B1579" s="3" t="s">
        <v>1211</v>
      </c>
      <c r="C1579" s="3" t="s">
        <v>1217</v>
      </c>
      <c r="D1579" s="3" t="s">
        <v>17</v>
      </c>
      <c r="E1579" s="3" t="s">
        <v>34</v>
      </c>
      <c r="F1579" s="3" t="s">
        <v>19</v>
      </c>
      <c r="G1579" s="4">
        <v>0</v>
      </c>
      <c r="H1579" s="4">
        <v>35555460</v>
      </c>
      <c r="I1579" s="3" t="s">
        <v>39</v>
      </c>
      <c r="J1579" s="4">
        <v>4</v>
      </c>
      <c r="K1579" s="3" t="s">
        <v>21</v>
      </c>
      <c r="L1579" s="4">
        <v>13200000</v>
      </c>
      <c r="M1579" s="1">
        <f>O1579*J1579*K1579</f>
        <v>0</v>
      </c>
      <c r="N1579" s="3"/>
      <c r="O1579" s="2">
        <f>L1579/J1579*(1-K1579)</f>
        <v>3300000</v>
      </c>
    </row>
    <row r="1580" ht="14.25">
      <c r="A1580" s="3" t="s">
        <v>766</v>
      </c>
      <c r="B1580" s="3" t="s">
        <v>1211</v>
      </c>
      <c r="C1580" s="3" t="s">
        <v>1217</v>
      </c>
      <c r="D1580" s="3" t="s">
        <v>17</v>
      </c>
      <c r="E1580" s="3" t="s">
        <v>34</v>
      </c>
      <c r="F1580" s="3" t="s">
        <v>19</v>
      </c>
      <c r="G1580" s="4">
        <v>0</v>
      </c>
      <c r="H1580" s="4">
        <v>35555460</v>
      </c>
      <c r="I1580" s="3" t="s">
        <v>700</v>
      </c>
      <c r="J1580" s="4">
        <v>1</v>
      </c>
      <c r="K1580" s="3" t="s">
        <v>21</v>
      </c>
      <c r="L1580" s="4">
        <v>3470000</v>
      </c>
      <c r="M1580" s="1">
        <f>O1580*J1580*K1580</f>
        <v>0</v>
      </c>
      <c r="N1580" s="3"/>
      <c r="O1580" s="2">
        <f>L1580/J1580*(1-K1580)</f>
        <v>3470000</v>
      </c>
    </row>
    <row r="1581" ht="14.25">
      <c r="A1581" s="3" t="s">
        <v>766</v>
      </c>
      <c r="B1581" s="3" t="s">
        <v>1211</v>
      </c>
      <c r="C1581" s="3" t="s">
        <v>1217</v>
      </c>
      <c r="D1581" s="3" t="s">
        <v>17</v>
      </c>
      <c r="E1581" s="3" t="s">
        <v>34</v>
      </c>
      <c r="F1581" s="3" t="s">
        <v>19</v>
      </c>
      <c r="G1581" s="4">
        <v>0</v>
      </c>
      <c r="H1581" s="4">
        <v>35555460</v>
      </c>
      <c r="I1581" s="3" t="s">
        <v>201</v>
      </c>
      <c r="J1581" s="4">
        <v>4</v>
      </c>
      <c r="K1581" s="3" t="s">
        <v>21</v>
      </c>
      <c r="L1581" s="4">
        <v>123740</v>
      </c>
      <c r="M1581" s="1">
        <f>O1581*J1581*K1581</f>
        <v>0</v>
      </c>
      <c r="N1581" s="3"/>
      <c r="O1581" s="2">
        <f>L1581/J1581*(1-K1581)</f>
        <v>30935</v>
      </c>
    </row>
    <row r="1582" ht="14.25">
      <c r="A1582" s="3" t="s">
        <v>766</v>
      </c>
      <c r="B1582" s="3" t="s">
        <v>1211</v>
      </c>
      <c r="C1582" s="3" t="s">
        <v>1217</v>
      </c>
      <c r="D1582" s="3" t="s">
        <v>17</v>
      </c>
      <c r="E1582" s="3" t="s">
        <v>34</v>
      </c>
      <c r="F1582" s="3" t="s">
        <v>19</v>
      </c>
      <c r="G1582" s="4">
        <v>0</v>
      </c>
      <c r="H1582" s="4">
        <v>35555460</v>
      </c>
      <c r="I1582" s="3" t="s">
        <v>417</v>
      </c>
      <c r="J1582" s="4">
        <v>4</v>
      </c>
      <c r="K1582" s="3" t="s">
        <v>21</v>
      </c>
      <c r="L1582" s="4">
        <v>650000</v>
      </c>
      <c r="M1582" s="1">
        <f>O1582*J1582*K1582</f>
        <v>0</v>
      </c>
      <c r="N1582" s="3"/>
      <c r="O1582" s="2">
        <f>L1582/J1582*(1-K1582)</f>
        <v>162500</v>
      </c>
    </row>
    <row r="1583" ht="14.25">
      <c r="A1583" s="3" t="s">
        <v>766</v>
      </c>
      <c r="B1583" s="3" t="s">
        <v>1211</v>
      </c>
      <c r="C1583" s="3" t="s">
        <v>1217</v>
      </c>
      <c r="D1583" s="3" t="s">
        <v>17</v>
      </c>
      <c r="E1583" s="3" t="s">
        <v>34</v>
      </c>
      <c r="F1583" s="3" t="s">
        <v>19</v>
      </c>
      <c r="G1583" s="4">
        <v>0</v>
      </c>
      <c r="H1583" s="4">
        <v>35555460</v>
      </c>
      <c r="I1583" s="3" t="s">
        <v>592</v>
      </c>
      <c r="J1583" s="4">
        <v>20</v>
      </c>
      <c r="K1583" s="3" t="s">
        <v>21</v>
      </c>
      <c r="L1583" s="4">
        <v>700000</v>
      </c>
      <c r="M1583" s="1">
        <f>O1583*J1583*K1583</f>
        <v>0</v>
      </c>
      <c r="N1583" s="3"/>
      <c r="O1583" s="2">
        <f>L1583/J1583*(1-K1583)</f>
        <v>35000</v>
      </c>
    </row>
    <row r="1584" ht="14.25">
      <c r="A1584" s="3" t="s">
        <v>766</v>
      </c>
      <c r="B1584" s="3" t="s">
        <v>1211</v>
      </c>
      <c r="C1584" s="3" t="s">
        <v>1217</v>
      </c>
      <c r="D1584" s="3" t="s">
        <v>17</v>
      </c>
      <c r="E1584" s="3" t="s">
        <v>34</v>
      </c>
      <c r="F1584" s="3" t="s">
        <v>19</v>
      </c>
      <c r="G1584" s="4">
        <v>0</v>
      </c>
      <c r="H1584" s="4">
        <v>35555460</v>
      </c>
      <c r="I1584" s="3" t="s">
        <v>395</v>
      </c>
      <c r="J1584" s="4">
        <v>12</v>
      </c>
      <c r="K1584" s="3" t="s">
        <v>21</v>
      </c>
      <c r="L1584" s="4">
        <v>1500000</v>
      </c>
      <c r="M1584" s="1">
        <f>O1584*J1584*K1584</f>
        <v>0</v>
      </c>
      <c r="N1584" s="3"/>
      <c r="O1584" s="2">
        <f>L1584/J1584*(1-K1584)</f>
        <v>125000</v>
      </c>
    </row>
    <row r="1585" ht="14.25">
      <c r="A1585" s="3" t="s">
        <v>766</v>
      </c>
      <c r="B1585" s="3" t="s">
        <v>1211</v>
      </c>
      <c r="C1585" s="3" t="s">
        <v>1217</v>
      </c>
      <c r="D1585" s="3" t="s">
        <v>17</v>
      </c>
      <c r="E1585" s="3" t="s">
        <v>34</v>
      </c>
      <c r="F1585" s="3" t="s">
        <v>19</v>
      </c>
      <c r="G1585" s="4">
        <v>0</v>
      </c>
      <c r="H1585" s="4">
        <v>35555460</v>
      </c>
      <c r="I1585" s="3" t="s">
        <v>182</v>
      </c>
      <c r="J1585" s="4">
        <v>4</v>
      </c>
      <c r="K1585" s="3" t="s">
        <v>21</v>
      </c>
      <c r="L1585" s="4">
        <v>1311720</v>
      </c>
      <c r="M1585" s="1">
        <f>O1585*J1585*K1585</f>
        <v>0</v>
      </c>
      <c r="N1585" s="3"/>
      <c r="O1585" s="2">
        <f>L1585/J1585*(1-K1585)</f>
        <v>327930</v>
      </c>
    </row>
    <row r="1586" ht="14.25">
      <c r="A1586" s="3" t="s">
        <v>766</v>
      </c>
      <c r="B1586" s="3" t="s">
        <v>1211</v>
      </c>
      <c r="C1586" s="3" t="s">
        <v>1217</v>
      </c>
      <c r="D1586" s="3" t="s">
        <v>17</v>
      </c>
      <c r="E1586" s="3" t="s">
        <v>34</v>
      </c>
      <c r="F1586" s="3" t="s">
        <v>19</v>
      </c>
      <c r="G1586" s="4">
        <v>0</v>
      </c>
      <c r="H1586" s="4">
        <v>35555460</v>
      </c>
      <c r="I1586" s="3" t="s">
        <v>82</v>
      </c>
      <c r="J1586" s="4">
        <v>1</v>
      </c>
      <c r="K1586" s="3" t="s">
        <v>21</v>
      </c>
      <c r="L1586" s="4">
        <v>3650000</v>
      </c>
      <c r="M1586" s="1">
        <f>O1586*J1586*K1586</f>
        <v>0</v>
      </c>
      <c r="N1586" s="3"/>
      <c r="O1586" s="2">
        <f>L1586/J1586*(1-K1586)</f>
        <v>3650000</v>
      </c>
    </row>
    <row r="1587" ht="14.25">
      <c r="A1587" s="3" t="s">
        <v>1218</v>
      </c>
      <c r="B1587" s="3" t="s">
        <v>1218</v>
      </c>
      <c r="C1587" s="3" t="s">
        <v>1219</v>
      </c>
      <c r="D1587" s="3" t="s">
        <v>17</v>
      </c>
      <c r="E1587" s="3" t="s">
        <v>34</v>
      </c>
      <c r="F1587" s="3" t="s">
        <v>19</v>
      </c>
      <c r="G1587" s="4">
        <v>0</v>
      </c>
      <c r="H1587" s="4">
        <v>1610440</v>
      </c>
      <c r="I1587" s="3" t="s">
        <v>126</v>
      </c>
      <c r="J1587" s="4">
        <v>4</v>
      </c>
      <c r="K1587" s="3" t="s">
        <v>21</v>
      </c>
      <c r="L1587" s="4">
        <v>940440</v>
      </c>
      <c r="M1587" s="1">
        <f>O1587*J1587*K1587</f>
        <v>0</v>
      </c>
      <c r="N1587" s="3"/>
      <c r="O1587" s="2">
        <f>L1587/J1587*(1-K1587)</f>
        <v>235110</v>
      </c>
    </row>
    <row r="1588" ht="14.25">
      <c r="A1588" s="3" t="s">
        <v>1218</v>
      </c>
      <c r="B1588" s="3" t="s">
        <v>1218</v>
      </c>
      <c r="C1588" s="3" t="s">
        <v>1219</v>
      </c>
      <c r="D1588" s="3" t="s">
        <v>17</v>
      </c>
      <c r="E1588" s="3" t="s">
        <v>34</v>
      </c>
      <c r="F1588" s="3" t="s">
        <v>19</v>
      </c>
      <c r="G1588" s="4">
        <v>0</v>
      </c>
      <c r="H1588" s="4">
        <v>1610440</v>
      </c>
      <c r="I1588" s="3" t="s">
        <v>423</v>
      </c>
      <c r="J1588" s="4">
        <v>20</v>
      </c>
      <c r="K1588" s="3" t="s">
        <v>21</v>
      </c>
      <c r="L1588" s="4">
        <v>670000</v>
      </c>
      <c r="M1588" s="1">
        <f>O1588*J1588*K1588</f>
        <v>0</v>
      </c>
      <c r="N1588" s="3"/>
      <c r="O1588" s="2">
        <f>L1588/J1588*(1-K1588)</f>
        <v>33500</v>
      </c>
    </row>
    <row r="1589" ht="14.25">
      <c r="A1589" s="3" t="s">
        <v>1218</v>
      </c>
      <c r="B1589" s="3" t="s">
        <v>1220</v>
      </c>
      <c r="C1589" s="3" t="s">
        <v>1221</v>
      </c>
      <c r="D1589" s="3" t="s">
        <v>159</v>
      </c>
      <c r="E1589" s="3" t="s">
        <v>221</v>
      </c>
      <c r="F1589" s="3" t="s">
        <v>19</v>
      </c>
      <c r="G1589" s="4">
        <v>6800000</v>
      </c>
      <c r="H1589" s="4">
        <v>6800000</v>
      </c>
      <c r="I1589" s="3" t="s">
        <v>1222</v>
      </c>
      <c r="J1589" s="4">
        <v>1</v>
      </c>
      <c r="K1589" s="3" t="s">
        <v>21</v>
      </c>
      <c r="L1589" s="4">
        <v>6800000</v>
      </c>
      <c r="M1589" s="1">
        <f>O1589*J1589*K1589</f>
        <v>0</v>
      </c>
      <c r="N1589" s="3"/>
      <c r="O1589" s="2">
        <f>L1589/J1589*(1-K1589)</f>
        <v>6800000</v>
      </c>
    </row>
    <row r="1590" ht="14.25">
      <c r="A1590" s="3" t="s">
        <v>1218</v>
      </c>
      <c r="B1590" s="3" t="s">
        <v>1218</v>
      </c>
      <c r="C1590" s="3" t="s">
        <v>1223</v>
      </c>
      <c r="D1590" s="3" t="s">
        <v>17</v>
      </c>
      <c r="E1590" s="3" t="s">
        <v>346</v>
      </c>
      <c r="F1590" s="3" t="s">
        <v>19</v>
      </c>
      <c r="G1590" s="4">
        <v>0</v>
      </c>
      <c r="H1590" s="4">
        <v>50800000</v>
      </c>
      <c r="I1590" s="3" t="s">
        <v>1224</v>
      </c>
      <c r="J1590" s="4">
        <v>3</v>
      </c>
      <c r="K1590" s="3" t="s">
        <v>21</v>
      </c>
      <c r="L1590" s="4">
        <v>18000000</v>
      </c>
      <c r="M1590" s="1">
        <f>O1590*J1590*K1590</f>
        <v>0</v>
      </c>
      <c r="N1590" s="3"/>
      <c r="O1590" s="2">
        <f>L1590/J1590*(1-K1590)</f>
        <v>6000000</v>
      </c>
    </row>
    <row r="1591" ht="14.25">
      <c r="A1591" s="3" t="s">
        <v>1218</v>
      </c>
      <c r="B1591" s="3" t="s">
        <v>1218</v>
      </c>
      <c r="C1591" s="3" t="s">
        <v>1223</v>
      </c>
      <c r="D1591" s="3" t="s">
        <v>17</v>
      </c>
      <c r="E1591" s="3" t="s">
        <v>346</v>
      </c>
      <c r="F1591" s="3" t="s">
        <v>19</v>
      </c>
      <c r="G1591" s="4">
        <v>0</v>
      </c>
      <c r="H1591" s="4">
        <v>50800000</v>
      </c>
      <c r="I1591" s="3" t="s">
        <v>1209</v>
      </c>
      <c r="J1591" s="4">
        <v>4</v>
      </c>
      <c r="K1591" s="3" t="s">
        <v>21</v>
      </c>
      <c r="L1591" s="4">
        <v>19600000</v>
      </c>
      <c r="M1591" s="1">
        <f>O1591*J1591*K1591</f>
        <v>0</v>
      </c>
      <c r="N1591" s="3"/>
      <c r="O1591" s="2">
        <f>L1591/J1591*(1-K1591)</f>
        <v>4900000</v>
      </c>
    </row>
    <row r="1592" ht="14.25">
      <c r="A1592" s="3" t="s">
        <v>1218</v>
      </c>
      <c r="B1592" s="3" t="s">
        <v>1218</v>
      </c>
      <c r="C1592" s="3" t="s">
        <v>1223</v>
      </c>
      <c r="D1592" s="3" t="s">
        <v>17</v>
      </c>
      <c r="E1592" s="3" t="s">
        <v>346</v>
      </c>
      <c r="F1592" s="3" t="s">
        <v>19</v>
      </c>
      <c r="G1592" s="4">
        <v>0</v>
      </c>
      <c r="H1592" s="4">
        <v>50800000</v>
      </c>
      <c r="I1592" s="3" t="s">
        <v>348</v>
      </c>
      <c r="J1592" s="4">
        <v>2</v>
      </c>
      <c r="K1592" s="3" t="s">
        <v>21</v>
      </c>
      <c r="L1592" s="4">
        <v>12000000</v>
      </c>
      <c r="M1592" s="1">
        <f>O1592*J1592*K1592</f>
        <v>0</v>
      </c>
      <c r="N1592" s="3"/>
      <c r="O1592" s="2">
        <f>L1592/J1592*(1-K1592)</f>
        <v>6000000</v>
      </c>
    </row>
    <row r="1593" ht="14.25">
      <c r="A1593" s="3" t="s">
        <v>1218</v>
      </c>
      <c r="B1593" s="3" t="s">
        <v>1218</v>
      </c>
      <c r="C1593" s="3" t="s">
        <v>1223</v>
      </c>
      <c r="D1593" s="3" t="s">
        <v>17</v>
      </c>
      <c r="E1593" s="3" t="s">
        <v>346</v>
      </c>
      <c r="F1593" s="3" t="s">
        <v>19</v>
      </c>
      <c r="G1593" s="4">
        <v>0</v>
      </c>
      <c r="H1593" s="4">
        <v>50800000</v>
      </c>
      <c r="I1593" s="3" t="s">
        <v>1225</v>
      </c>
      <c r="J1593" s="4">
        <v>2</v>
      </c>
      <c r="K1593" s="3" t="s">
        <v>21</v>
      </c>
      <c r="L1593" s="4">
        <v>1200000</v>
      </c>
      <c r="M1593" s="1">
        <f>O1593*J1593*K1593</f>
        <v>0</v>
      </c>
      <c r="N1593" s="3"/>
      <c r="O1593" s="2">
        <f>L1593/J1593*(1-K1593)</f>
        <v>600000</v>
      </c>
    </row>
    <row r="1594" ht="14.25">
      <c r="A1594" s="3" t="s">
        <v>1218</v>
      </c>
      <c r="B1594" s="3" t="s">
        <v>1218</v>
      </c>
      <c r="C1594" s="3" t="s">
        <v>1226</v>
      </c>
      <c r="D1594" s="3" t="s">
        <v>17</v>
      </c>
      <c r="E1594" s="3" t="s">
        <v>263</v>
      </c>
      <c r="F1594" s="3" t="s">
        <v>19</v>
      </c>
      <c r="G1594" s="4">
        <v>0</v>
      </c>
      <c r="H1594" s="4">
        <v>9000000</v>
      </c>
      <c r="I1594" s="3" t="s">
        <v>960</v>
      </c>
      <c r="J1594" s="4">
        <v>1</v>
      </c>
      <c r="K1594" s="3" t="s">
        <v>21</v>
      </c>
      <c r="L1594" s="4">
        <v>4500000</v>
      </c>
      <c r="M1594" s="1">
        <f>O1594*J1594*K1594</f>
        <v>0</v>
      </c>
      <c r="N1594" s="3"/>
      <c r="O1594" s="2">
        <f>L1594/J1594*(1-K1594)</f>
        <v>4500000</v>
      </c>
    </row>
    <row r="1595" ht="14.25">
      <c r="A1595" s="3" t="s">
        <v>1218</v>
      </c>
      <c r="B1595" s="3" t="s">
        <v>1218</v>
      </c>
      <c r="C1595" s="3" t="s">
        <v>1226</v>
      </c>
      <c r="D1595" s="3" t="s">
        <v>17</v>
      </c>
      <c r="E1595" s="3" t="s">
        <v>263</v>
      </c>
      <c r="F1595" s="3" t="s">
        <v>19</v>
      </c>
      <c r="G1595" s="4">
        <v>0</v>
      </c>
      <c r="H1595" s="4">
        <v>9000000</v>
      </c>
      <c r="I1595" s="3" t="s">
        <v>61</v>
      </c>
      <c r="J1595" s="4">
        <v>1</v>
      </c>
      <c r="K1595" s="3" t="s">
        <v>21</v>
      </c>
      <c r="L1595" s="4">
        <v>4500000</v>
      </c>
      <c r="M1595" s="1">
        <f>O1595*J1595*K1595</f>
        <v>0</v>
      </c>
      <c r="N1595" s="3"/>
      <c r="O1595" s="2">
        <f>L1595/J1595*(1-K1595)</f>
        <v>4500000</v>
      </c>
    </row>
    <row r="1596" ht="14.25">
      <c r="A1596" s="3" t="s">
        <v>1218</v>
      </c>
      <c r="B1596" s="3" t="s">
        <v>1220</v>
      </c>
      <c r="C1596" s="3" t="s">
        <v>1227</v>
      </c>
      <c r="D1596" s="3" t="s">
        <v>17</v>
      </c>
      <c r="E1596" s="3" t="s">
        <v>43</v>
      </c>
      <c r="F1596" s="3" t="s">
        <v>19</v>
      </c>
      <c r="G1596" s="4">
        <v>0</v>
      </c>
      <c r="H1596" s="4">
        <v>10986138</v>
      </c>
      <c r="I1596" s="3" t="s">
        <v>47</v>
      </c>
      <c r="J1596" s="4">
        <v>72</v>
      </c>
      <c r="K1596" s="3" t="s">
        <v>21</v>
      </c>
      <c r="L1596" s="4">
        <v>2688048</v>
      </c>
      <c r="M1596" s="1">
        <f>O1596*J1596*K1596</f>
        <v>0</v>
      </c>
      <c r="N1596" s="3"/>
      <c r="O1596" s="2">
        <f>L1596/J1596*(1-K1596)</f>
        <v>37334</v>
      </c>
    </row>
    <row r="1597" ht="14.25">
      <c r="A1597" s="3" t="s">
        <v>1218</v>
      </c>
      <c r="B1597" s="3" t="s">
        <v>1220</v>
      </c>
      <c r="C1597" s="3" t="s">
        <v>1227</v>
      </c>
      <c r="D1597" s="3" t="s">
        <v>17</v>
      </c>
      <c r="E1597" s="3" t="s">
        <v>43</v>
      </c>
      <c r="F1597" s="3" t="s">
        <v>19</v>
      </c>
      <c r="G1597" s="4">
        <v>0</v>
      </c>
      <c r="H1597" s="4">
        <v>10986138</v>
      </c>
      <c r="I1597" s="3" t="s">
        <v>207</v>
      </c>
      <c r="J1597" s="4">
        <v>30</v>
      </c>
      <c r="K1597" s="3" t="s">
        <v>21</v>
      </c>
      <c r="L1597" s="4">
        <v>1175010</v>
      </c>
      <c r="M1597" s="1">
        <f>O1597*J1597*K1597</f>
        <v>0</v>
      </c>
      <c r="N1597" s="3"/>
      <c r="O1597" s="2">
        <f>L1597/J1597*(1-K1597)</f>
        <v>39167</v>
      </c>
    </row>
    <row r="1598" ht="14.25">
      <c r="A1598" s="3" t="s">
        <v>1218</v>
      </c>
      <c r="B1598" s="3" t="s">
        <v>1220</v>
      </c>
      <c r="C1598" s="3" t="s">
        <v>1227</v>
      </c>
      <c r="D1598" s="3" t="s">
        <v>17</v>
      </c>
      <c r="E1598" s="3" t="s">
        <v>43</v>
      </c>
      <c r="F1598" s="3" t="s">
        <v>19</v>
      </c>
      <c r="G1598" s="4">
        <v>0</v>
      </c>
      <c r="H1598" s="4">
        <v>10986138</v>
      </c>
      <c r="I1598" s="3" t="s">
        <v>483</v>
      </c>
      <c r="J1598" s="4">
        <v>30</v>
      </c>
      <c r="K1598" s="3" t="s">
        <v>21</v>
      </c>
      <c r="L1598" s="4">
        <v>1075020</v>
      </c>
      <c r="M1598" s="1">
        <f>O1598*J1598*K1598</f>
        <v>0</v>
      </c>
      <c r="N1598" s="3"/>
      <c r="O1598" s="2">
        <f>L1598/J1598*(1-K1598)</f>
        <v>35834</v>
      </c>
    </row>
    <row r="1599" ht="14.25">
      <c r="A1599" s="3" t="s">
        <v>1218</v>
      </c>
      <c r="B1599" s="3" t="s">
        <v>1220</v>
      </c>
      <c r="C1599" s="3" t="s">
        <v>1227</v>
      </c>
      <c r="D1599" s="3" t="s">
        <v>17</v>
      </c>
      <c r="E1599" s="3" t="s">
        <v>43</v>
      </c>
      <c r="F1599" s="3" t="s">
        <v>19</v>
      </c>
      <c r="G1599" s="4">
        <v>0</v>
      </c>
      <c r="H1599" s="4">
        <v>10986138</v>
      </c>
      <c r="I1599" s="3" t="s">
        <v>884</v>
      </c>
      <c r="J1599" s="4">
        <v>48</v>
      </c>
      <c r="K1599" s="3" t="s">
        <v>21</v>
      </c>
      <c r="L1599" s="4">
        <v>1744032</v>
      </c>
      <c r="M1599" s="1">
        <f>O1599*J1599*K1599</f>
        <v>0</v>
      </c>
      <c r="N1599" s="3"/>
      <c r="O1599" s="2">
        <f>L1599/J1599*(1-K1599)</f>
        <v>36334</v>
      </c>
    </row>
    <row r="1600" ht="14.25">
      <c r="A1600" s="3" t="s">
        <v>1218</v>
      </c>
      <c r="B1600" s="3" t="s">
        <v>1220</v>
      </c>
      <c r="C1600" s="3" t="s">
        <v>1227</v>
      </c>
      <c r="D1600" s="3" t="s">
        <v>17</v>
      </c>
      <c r="E1600" s="3" t="s">
        <v>43</v>
      </c>
      <c r="F1600" s="3" t="s">
        <v>19</v>
      </c>
      <c r="G1600" s="4">
        <v>0</v>
      </c>
      <c r="H1600" s="4">
        <v>10986138</v>
      </c>
      <c r="I1600" s="3" t="s">
        <v>415</v>
      </c>
      <c r="J1600" s="4">
        <v>30</v>
      </c>
      <c r="K1600" s="3" t="s">
        <v>21</v>
      </c>
      <c r="L1600" s="4">
        <v>1150020</v>
      </c>
      <c r="M1600" s="1">
        <f>O1600*J1600*K1600</f>
        <v>0</v>
      </c>
      <c r="N1600" s="3"/>
      <c r="O1600" s="2">
        <f>L1600/J1600*(1-K1600)</f>
        <v>38334</v>
      </c>
    </row>
    <row r="1601" ht="14.25">
      <c r="A1601" s="3" t="s">
        <v>1218</v>
      </c>
      <c r="B1601" s="3" t="s">
        <v>1220</v>
      </c>
      <c r="C1601" s="3" t="s">
        <v>1227</v>
      </c>
      <c r="D1601" s="3" t="s">
        <v>17</v>
      </c>
      <c r="E1601" s="3" t="s">
        <v>43</v>
      </c>
      <c r="F1601" s="3" t="s">
        <v>19</v>
      </c>
      <c r="G1601" s="4">
        <v>0</v>
      </c>
      <c r="H1601" s="4">
        <v>10986138</v>
      </c>
      <c r="I1601" s="3" t="s">
        <v>45</v>
      </c>
      <c r="J1601" s="4">
        <v>72</v>
      </c>
      <c r="K1601" s="3" t="s">
        <v>21</v>
      </c>
      <c r="L1601" s="4">
        <v>2304000</v>
      </c>
      <c r="M1601" s="1">
        <f>O1601*J1601*K1601</f>
        <v>0</v>
      </c>
      <c r="N1601" s="3"/>
      <c r="O1601" s="2">
        <f>L1601/J1601*(1-K1601)</f>
        <v>32000</v>
      </c>
    </row>
    <row r="1602" ht="14.25">
      <c r="A1602" s="3" t="s">
        <v>1218</v>
      </c>
      <c r="B1602" s="3" t="s">
        <v>1220</v>
      </c>
      <c r="C1602" s="3" t="s">
        <v>1227</v>
      </c>
      <c r="D1602" s="3" t="s">
        <v>17</v>
      </c>
      <c r="E1602" s="3" t="s">
        <v>43</v>
      </c>
      <c r="F1602" s="3" t="s">
        <v>19</v>
      </c>
      <c r="G1602" s="4">
        <v>0</v>
      </c>
      <c r="H1602" s="4">
        <v>10986138</v>
      </c>
      <c r="I1602" s="3" t="s">
        <v>46</v>
      </c>
      <c r="J1602" s="4">
        <v>24</v>
      </c>
      <c r="K1602" s="3" t="s">
        <v>21</v>
      </c>
      <c r="L1602" s="4">
        <v>850008</v>
      </c>
      <c r="M1602" s="1">
        <f>O1602*J1602*K1602</f>
        <v>0</v>
      </c>
      <c r="N1602" s="3"/>
      <c r="O1602" s="2">
        <f>L1602/J1602*(1-K1602)</f>
        <v>35417</v>
      </c>
    </row>
    <row r="1603" ht="14.25">
      <c r="A1603" s="3" t="s">
        <v>1218</v>
      </c>
      <c r="B1603" s="3" t="s">
        <v>1220</v>
      </c>
      <c r="C1603" s="3" t="s">
        <v>1228</v>
      </c>
      <c r="D1603" s="3" t="s">
        <v>17</v>
      </c>
      <c r="E1603" s="3" t="s">
        <v>462</v>
      </c>
      <c r="F1603" s="3" t="s">
        <v>19</v>
      </c>
      <c r="G1603" s="4">
        <v>0</v>
      </c>
      <c r="H1603" s="4">
        <v>5870000</v>
      </c>
      <c r="I1603" s="3" t="s">
        <v>171</v>
      </c>
      <c r="J1603" s="4">
        <v>1</v>
      </c>
      <c r="K1603" s="3" t="s">
        <v>21</v>
      </c>
      <c r="L1603" s="4">
        <v>5870000</v>
      </c>
      <c r="M1603" s="1">
        <f>O1603*J1603*K1603</f>
        <v>0</v>
      </c>
      <c r="N1603" s="3"/>
      <c r="O1603" s="2">
        <f>L1603/J1603*(1-K1603)</f>
        <v>5870000</v>
      </c>
    </row>
    <row r="1604" ht="14.25">
      <c r="A1604" s="3" t="s">
        <v>1218</v>
      </c>
      <c r="B1604" s="3" t="s">
        <v>1218</v>
      </c>
      <c r="C1604" s="3" t="s">
        <v>1229</v>
      </c>
      <c r="D1604" s="3" t="s">
        <v>17</v>
      </c>
      <c r="E1604" s="3" t="s">
        <v>360</v>
      </c>
      <c r="F1604" s="3" t="s">
        <v>19</v>
      </c>
      <c r="G1604" s="4">
        <v>0</v>
      </c>
      <c r="H1604" s="4">
        <v>2196000</v>
      </c>
      <c r="I1604" s="3" t="s">
        <v>108</v>
      </c>
      <c r="J1604" s="4">
        <v>72</v>
      </c>
      <c r="K1604" s="3" t="s">
        <v>21</v>
      </c>
      <c r="L1604" s="4">
        <v>1656000</v>
      </c>
      <c r="M1604" s="1">
        <f>O1604*J1604*K1604</f>
        <v>0</v>
      </c>
      <c r="N1604" s="3"/>
      <c r="O1604" s="2">
        <f>L1604/J1604*(1-K1604)</f>
        <v>23000</v>
      </c>
    </row>
    <row r="1605" ht="14.25">
      <c r="A1605" s="3" t="s">
        <v>1218</v>
      </c>
      <c r="B1605" s="3" t="s">
        <v>1218</v>
      </c>
      <c r="C1605" s="3" t="s">
        <v>1229</v>
      </c>
      <c r="D1605" s="3" t="s">
        <v>17</v>
      </c>
      <c r="E1605" s="3" t="s">
        <v>360</v>
      </c>
      <c r="F1605" s="3" t="s">
        <v>19</v>
      </c>
      <c r="G1605" s="4">
        <v>0</v>
      </c>
      <c r="H1605" s="4">
        <v>2196000</v>
      </c>
      <c r="I1605" s="3" t="s">
        <v>32</v>
      </c>
      <c r="J1605" s="4">
        <v>24</v>
      </c>
      <c r="K1605" s="3" t="s">
        <v>21</v>
      </c>
      <c r="L1605" s="4">
        <v>540000</v>
      </c>
      <c r="M1605" s="1">
        <f>O1605*J1605*K1605</f>
        <v>0</v>
      </c>
      <c r="N1605" s="3"/>
      <c r="O1605" s="2">
        <f>L1605/J1605*(1-K1605)</f>
        <v>22500</v>
      </c>
    </row>
    <row r="1606" ht="14.25">
      <c r="A1606" s="3" t="s">
        <v>1218</v>
      </c>
      <c r="B1606" s="3" t="s">
        <v>1218</v>
      </c>
      <c r="C1606" s="3" t="s">
        <v>1230</v>
      </c>
      <c r="D1606" s="3" t="s">
        <v>17</v>
      </c>
      <c r="E1606" s="3" t="s">
        <v>168</v>
      </c>
      <c r="F1606" s="3" t="s">
        <v>19</v>
      </c>
      <c r="G1606" s="4">
        <v>0</v>
      </c>
      <c r="H1606" s="4">
        <v>3820000</v>
      </c>
      <c r="I1606" s="3" t="s">
        <v>467</v>
      </c>
      <c r="J1606" s="4">
        <v>40</v>
      </c>
      <c r="K1606" s="3" t="s">
        <v>21</v>
      </c>
      <c r="L1606" s="4">
        <v>1340000</v>
      </c>
      <c r="M1606" s="1">
        <f>O1606*J1606*K1606</f>
        <v>0</v>
      </c>
      <c r="N1606" s="3"/>
      <c r="O1606" s="2">
        <f>L1606/J1606*(1-K1606)</f>
        <v>33500</v>
      </c>
    </row>
    <row r="1607" ht="14.25">
      <c r="A1607" s="3" t="s">
        <v>1218</v>
      </c>
      <c r="B1607" s="3" t="s">
        <v>1218</v>
      </c>
      <c r="C1607" s="3" t="s">
        <v>1230</v>
      </c>
      <c r="D1607" s="3" t="s">
        <v>17</v>
      </c>
      <c r="E1607" s="3" t="s">
        <v>168</v>
      </c>
      <c r="F1607" s="3" t="s">
        <v>19</v>
      </c>
      <c r="G1607" s="4">
        <v>0</v>
      </c>
      <c r="H1607" s="4">
        <v>3820000</v>
      </c>
      <c r="I1607" s="3" t="s">
        <v>56</v>
      </c>
      <c r="J1607" s="4">
        <v>16</v>
      </c>
      <c r="K1607" s="3" t="s">
        <v>21</v>
      </c>
      <c r="L1607" s="4">
        <v>2480000</v>
      </c>
      <c r="M1607" s="1">
        <f>O1607*J1607*K1607</f>
        <v>0</v>
      </c>
      <c r="N1607" s="3"/>
      <c r="O1607" s="2">
        <f>L1607/J1607*(1-K1607)</f>
        <v>155000</v>
      </c>
    </row>
    <row r="1608" ht="14.25">
      <c r="A1608" s="3" t="s">
        <v>1218</v>
      </c>
      <c r="B1608" s="3" t="s">
        <v>1220</v>
      </c>
      <c r="C1608" s="3" t="s">
        <v>1231</v>
      </c>
      <c r="D1608" s="3" t="s">
        <v>17</v>
      </c>
      <c r="E1608" s="3" t="s">
        <v>230</v>
      </c>
      <c r="F1608" s="3" t="s">
        <v>19</v>
      </c>
      <c r="G1608" s="4">
        <v>0</v>
      </c>
      <c r="H1608" s="4">
        <v>575450</v>
      </c>
      <c r="I1608" s="3" t="s">
        <v>291</v>
      </c>
      <c r="J1608" s="4">
        <v>1</v>
      </c>
      <c r="K1608" s="3" t="s">
        <v>353</v>
      </c>
      <c r="L1608" s="4">
        <v>677000</v>
      </c>
      <c r="M1608" s="1">
        <f>O1608*J1608*K1608</f>
        <v>86317.5</v>
      </c>
      <c r="N1608" s="3"/>
      <c r="O1608" s="2">
        <f>L1608/J1608*(1-K1608)</f>
        <v>575450</v>
      </c>
    </row>
    <row r="1609" ht="14.25">
      <c r="A1609" s="3" t="s">
        <v>793</v>
      </c>
      <c r="B1609" s="3" t="s">
        <v>793</v>
      </c>
      <c r="C1609" s="3" t="s">
        <v>1232</v>
      </c>
      <c r="D1609" s="3" t="s">
        <v>17</v>
      </c>
      <c r="E1609" s="3" t="s">
        <v>31</v>
      </c>
      <c r="F1609" s="3" t="s">
        <v>19</v>
      </c>
      <c r="G1609" s="4">
        <v>0</v>
      </c>
      <c r="H1609" s="4">
        <v>1052052</v>
      </c>
      <c r="I1609" s="3" t="s">
        <v>38</v>
      </c>
      <c r="J1609" s="4">
        <v>6</v>
      </c>
      <c r="K1609" s="3" t="s">
        <v>21</v>
      </c>
      <c r="L1609" s="4">
        <v>954852</v>
      </c>
      <c r="M1609" s="1">
        <f>O1609*J1609*K1609</f>
        <v>0</v>
      </c>
      <c r="N1609" s="3"/>
      <c r="O1609" s="2">
        <f>L1609/J1609*(1-K1609)</f>
        <v>159142</v>
      </c>
    </row>
    <row r="1610" ht="14.25">
      <c r="A1610" s="3" t="s">
        <v>793</v>
      </c>
      <c r="B1610" s="3" t="s">
        <v>793</v>
      </c>
      <c r="C1610" s="3" t="s">
        <v>1232</v>
      </c>
      <c r="D1610" s="3" t="s">
        <v>17</v>
      </c>
      <c r="E1610" s="3" t="s">
        <v>31</v>
      </c>
      <c r="F1610" s="3" t="s">
        <v>19</v>
      </c>
      <c r="G1610" s="4">
        <v>0</v>
      </c>
      <c r="H1610" s="4">
        <v>1052052</v>
      </c>
      <c r="I1610" s="3" t="s">
        <v>162</v>
      </c>
      <c r="J1610" s="4">
        <v>12</v>
      </c>
      <c r="K1610" s="3" t="s">
        <v>21</v>
      </c>
      <c r="L1610" s="4">
        <v>97200</v>
      </c>
      <c r="M1610" s="1">
        <f>O1610*J1610*K1610</f>
        <v>0</v>
      </c>
      <c r="N1610" s="3"/>
      <c r="O1610" s="2">
        <f>L1610/J1610*(1-K1610)</f>
        <v>8100</v>
      </c>
    </row>
    <row r="1611" ht="14.25">
      <c r="A1611" s="3" t="s">
        <v>793</v>
      </c>
      <c r="B1611" s="3" t="s">
        <v>793</v>
      </c>
      <c r="C1611" s="3" t="s">
        <v>1233</v>
      </c>
      <c r="D1611" s="3" t="s">
        <v>17</v>
      </c>
      <c r="E1611" s="3" t="s">
        <v>1078</v>
      </c>
      <c r="F1611" s="3" t="s">
        <v>19</v>
      </c>
      <c r="G1611" s="4">
        <v>0</v>
      </c>
      <c r="H1611" s="4">
        <v>11640000</v>
      </c>
      <c r="I1611" s="3" t="s">
        <v>287</v>
      </c>
      <c r="J1611" s="4">
        <v>78</v>
      </c>
      <c r="K1611" s="3" t="s">
        <v>21</v>
      </c>
      <c r="L1611" s="4">
        <v>9360000</v>
      </c>
      <c r="M1611" s="1">
        <f>O1611*J1611*K1611</f>
        <v>0</v>
      </c>
      <c r="N1611" s="3"/>
      <c r="O1611" s="2">
        <f>L1611/J1611*(1-K1611)</f>
        <v>120000</v>
      </c>
    </row>
    <row r="1612" ht="14.25">
      <c r="A1612" s="3" t="s">
        <v>793</v>
      </c>
      <c r="B1612" s="3" t="s">
        <v>793</v>
      </c>
      <c r="C1612" s="3" t="s">
        <v>1233</v>
      </c>
      <c r="D1612" s="3" t="s">
        <v>17</v>
      </c>
      <c r="E1612" s="3" t="s">
        <v>1078</v>
      </c>
      <c r="F1612" s="3" t="s">
        <v>19</v>
      </c>
      <c r="G1612" s="4">
        <v>0</v>
      </c>
      <c r="H1612" s="4">
        <v>11640000</v>
      </c>
      <c r="I1612" s="3" t="s">
        <v>1054</v>
      </c>
      <c r="J1612" s="4">
        <v>10</v>
      </c>
      <c r="K1612" s="3" t="s">
        <v>21</v>
      </c>
      <c r="L1612" s="4">
        <v>1200000</v>
      </c>
      <c r="M1612" s="1">
        <f>O1612*J1612*K1612</f>
        <v>0</v>
      </c>
      <c r="N1612" s="3"/>
      <c r="O1612" s="2">
        <f>L1612/J1612*(1-K1612)</f>
        <v>120000</v>
      </c>
    </row>
    <row r="1613" ht="14.25">
      <c r="A1613" s="3" t="s">
        <v>793</v>
      </c>
      <c r="B1613" s="3" t="s">
        <v>793</v>
      </c>
      <c r="C1613" s="3" t="s">
        <v>1233</v>
      </c>
      <c r="D1613" s="3" t="s">
        <v>17</v>
      </c>
      <c r="E1613" s="3" t="s">
        <v>1078</v>
      </c>
      <c r="F1613" s="3" t="s">
        <v>19</v>
      </c>
      <c r="G1613" s="4">
        <v>0</v>
      </c>
      <c r="H1613" s="4">
        <v>11640000</v>
      </c>
      <c r="I1613" s="3" t="s">
        <v>1053</v>
      </c>
      <c r="J1613" s="4">
        <v>9</v>
      </c>
      <c r="K1613" s="3" t="s">
        <v>21</v>
      </c>
      <c r="L1613" s="4">
        <v>1080000</v>
      </c>
      <c r="M1613" s="1">
        <f>O1613*J1613*K1613</f>
        <v>0</v>
      </c>
      <c r="N1613" s="3"/>
      <c r="O1613" s="2">
        <f>L1613/J1613*(1-K1613)</f>
        <v>120000</v>
      </c>
    </row>
    <row r="1614" ht="14.25">
      <c r="A1614" s="3" t="s">
        <v>793</v>
      </c>
      <c r="B1614" s="3" t="s">
        <v>1007</v>
      </c>
      <c r="C1614" s="3" t="s">
        <v>1234</v>
      </c>
      <c r="D1614" s="3" t="s">
        <v>17</v>
      </c>
      <c r="E1614" s="3" t="s">
        <v>930</v>
      </c>
      <c r="F1614" s="3" t="s">
        <v>19</v>
      </c>
      <c r="G1614" s="4">
        <v>0</v>
      </c>
      <c r="H1614" s="4">
        <v>3800000</v>
      </c>
      <c r="I1614" s="3" t="s">
        <v>39</v>
      </c>
      <c r="J1614" s="4">
        <v>1</v>
      </c>
      <c r="K1614" s="3" t="s">
        <v>21</v>
      </c>
      <c r="L1614" s="4">
        <v>3800000</v>
      </c>
      <c r="M1614" s="1">
        <f>O1614*J1614*K1614</f>
        <v>0</v>
      </c>
      <c r="N1614" s="3"/>
      <c r="O1614" s="2">
        <f>L1614/J1614*(1-K1614)</f>
        <v>3800000</v>
      </c>
    </row>
    <row r="1615" ht="14.25">
      <c r="A1615" s="3" t="s">
        <v>793</v>
      </c>
      <c r="B1615" s="3" t="s">
        <v>1007</v>
      </c>
      <c r="C1615" s="3" t="s">
        <v>1235</v>
      </c>
      <c r="D1615" s="3" t="s">
        <v>17</v>
      </c>
      <c r="E1615" s="3" t="s">
        <v>1236</v>
      </c>
      <c r="F1615" s="3" t="s">
        <v>19</v>
      </c>
      <c r="G1615" s="4">
        <v>0</v>
      </c>
      <c r="H1615" s="4">
        <v>1433500</v>
      </c>
      <c r="I1615" s="3" t="s">
        <v>1237</v>
      </c>
      <c r="J1615" s="4">
        <v>1</v>
      </c>
      <c r="K1615" s="3" t="s">
        <v>21</v>
      </c>
      <c r="L1615" s="4">
        <v>459000</v>
      </c>
      <c r="M1615" s="1">
        <f>O1615*J1615*K1615</f>
        <v>0</v>
      </c>
      <c r="N1615" s="3"/>
      <c r="O1615" s="2">
        <f>L1615/J1615*(1-K1615)</f>
        <v>459000</v>
      </c>
    </row>
    <row r="1616" ht="14.25">
      <c r="A1616" s="3" t="s">
        <v>793</v>
      </c>
      <c r="B1616" s="3" t="s">
        <v>1007</v>
      </c>
      <c r="C1616" s="3" t="s">
        <v>1235</v>
      </c>
      <c r="D1616" s="3" t="s">
        <v>17</v>
      </c>
      <c r="E1616" s="3" t="s">
        <v>1236</v>
      </c>
      <c r="F1616" s="3" t="s">
        <v>19</v>
      </c>
      <c r="G1616" s="4">
        <v>0</v>
      </c>
      <c r="H1616" s="4">
        <v>1433500</v>
      </c>
      <c r="I1616" s="3" t="s">
        <v>1238</v>
      </c>
      <c r="J1616" s="4">
        <v>1</v>
      </c>
      <c r="K1616" s="3" t="s">
        <v>21</v>
      </c>
      <c r="L1616" s="4">
        <v>474500</v>
      </c>
      <c r="M1616" s="1">
        <f>O1616*J1616*K1616</f>
        <v>0</v>
      </c>
      <c r="N1616" s="3"/>
      <c r="O1616" s="2">
        <f>L1616/J1616*(1-K1616)</f>
        <v>474500</v>
      </c>
    </row>
    <row r="1617" ht="14.25">
      <c r="A1617" s="3" t="s">
        <v>793</v>
      </c>
      <c r="B1617" s="3" t="s">
        <v>1007</v>
      </c>
      <c r="C1617" s="3" t="s">
        <v>1235</v>
      </c>
      <c r="D1617" s="3" t="s">
        <v>17</v>
      </c>
      <c r="E1617" s="3" t="s">
        <v>1236</v>
      </c>
      <c r="F1617" s="3" t="s">
        <v>19</v>
      </c>
      <c r="G1617" s="4">
        <v>0</v>
      </c>
      <c r="H1617" s="4">
        <v>1433500</v>
      </c>
      <c r="I1617" s="3" t="s">
        <v>29</v>
      </c>
      <c r="J1617" s="4">
        <v>1</v>
      </c>
      <c r="K1617" s="3" t="s">
        <v>21</v>
      </c>
      <c r="L1617" s="4">
        <v>500000</v>
      </c>
      <c r="M1617" s="1">
        <f>O1617*J1617*K1617</f>
        <v>0</v>
      </c>
      <c r="N1617" s="3"/>
      <c r="O1617" s="2">
        <f>L1617/J1617*(1-K1617)</f>
        <v>500000</v>
      </c>
    </row>
    <row r="1618" ht="14.25">
      <c r="A1618" s="3" t="s">
        <v>793</v>
      </c>
      <c r="B1618" s="3" t="s">
        <v>1007</v>
      </c>
      <c r="C1618" s="3" t="s">
        <v>1239</v>
      </c>
      <c r="D1618" s="3" t="s">
        <v>17</v>
      </c>
      <c r="E1618" s="3" t="s">
        <v>752</v>
      </c>
      <c r="F1618" s="3" t="s">
        <v>19</v>
      </c>
      <c r="G1618" s="4">
        <v>0</v>
      </c>
      <c r="H1618" s="4">
        <v>1677510</v>
      </c>
      <c r="I1618" s="3" t="s">
        <v>178</v>
      </c>
      <c r="J1618" s="4">
        <v>6</v>
      </c>
      <c r="K1618" s="3" t="s">
        <v>21</v>
      </c>
      <c r="L1618" s="4">
        <v>344850</v>
      </c>
      <c r="M1618" s="1">
        <f>O1618*J1618*K1618</f>
        <v>0</v>
      </c>
      <c r="N1618" s="3"/>
      <c r="O1618" s="2">
        <f>L1618/J1618*(1-K1618)</f>
        <v>57475</v>
      </c>
    </row>
    <row r="1619" ht="14.25">
      <c r="A1619" s="3" t="s">
        <v>793</v>
      </c>
      <c r="B1619" s="3" t="s">
        <v>1007</v>
      </c>
      <c r="C1619" s="3" t="s">
        <v>1239</v>
      </c>
      <c r="D1619" s="3" t="s">
        <v>17</v>
      </c>
      <c r="E1619" s="3" t="s">
        <v>752</v>
      </c>
      <c r="F1619" s="3" t="s">
        <v>19</v>
      </c>
      <c r="G1619" s="4">
        <v>0</v>
      </c>
      <c r="H1619" s="4">
        <v>1677510</v>
      </c>
      <c r="I1619" s="3" t="s">
        <v>210</v>
      </c>
      <c r="J1619" s="4">
        <v>12</v>
      </c>
      <c r="K1619" s="3" t="s">
        <v>21</v>
      </c>
      <c r="L1619" s="4">
        <v>517560</v>
      </c>
      <c r="M1619" s="1">
        <f>O1619*J1619*K1619</f>
        <v>0</v>
      </c>
      <c r="N1619" s="3"/>
      <c r="O1619" s="2">
        <f>L1619/J1619*(1-K1619)</f>
        <v>43130</v>
      </c>
    </row>
    <row r="1620" ht="14.25">
      <c r="A1620" s="3" t="s">
        <v>793</v>
      </c>
      <c r="B1620" s="3" t="s">
        <v>1007</v>
      </c>
      <c r="C1620" s="3" t="s">
        <v>1239</v>
      </c>
      <c r="D1620" s="3" t="s">
        <v>17</v>
      </c>
      <c r="E1620" s="3" t="s">
        <v>752</v>
      </c>
      <c r="F1620" s="3" t="s">
        <v>19</v>
      </c>
      <c r="G1620" s="4">
        <v>0</v>
      </c>
      <c r="H1620" s="4">
        <v>1677510</v>
      </c>
      <c r="I1620" s="3" t="s">
        <v>200</v>
      </c>
      <c r="J1620" s="4">
        <v>20</v>
      </c>
      <c r="K1620" s="3" t="s">
        <v>21</v>
      </c>
      <c r="L1620" s="4">
        <v>815100</v>
      </c>
      <c r="M1620" s="1">
        <f>O1620*J1620*K1620</f>
        <v>0</v>
      </c>
      <c r="N1620" s="3"/>
      <c r="O1620" s="2">
        <f>L1620/J1620*(1-K1620)</f>
        <v>40755</v>
      </c>
    </row>
    <row r="1621" ht="14.25">
      <c r="A1621" s="3" t="s">
        <v>793</v>
      </c>
      <c r="B1621" s="3" t="s">
        <v>1007</v>
      </c>
      <c r="C1621" s="3" t="s">
        <v>1240</v>
      </c>
      <c r="D1621" s="3" t="s">
        <v>17</v>
      </c>
      <c r="E1621" s="3" t="s">
        <v>755</v>
      </c>
      <c r="F1621" s="3" t="s">
        <v>19</v>
      </c>
      <c r="G1621" s="4">
        <v>0</v>
      </c>
      <c r="H1621" s="4">
        <v>3097880</v>
      </c>
      <c r="I1621" s="3" t="s">
        <v>201</v>
      </c>
      <c r="J1621" s="4">
        <v>4</v>
      </c>
      <c r="K1621" s="3" t="s">
        <v>21</v>
      </c>
      <c r="L1621" s="4">
        <v>139880</v>
      </c>
      <c r="M1621" s="1">
        <f>O1621*J1621*K1621</f>
        <v>0</v>
      </c>
      <c r="N1621" s="3"/>
      <c r="O1621" s="2">
        <f>L1621/J1621*(1-K1621)</f>
        <v>34970</v>
      </c>
    </row>
    <row r="1622" ht="14.25">
      <c r="A1622" s="3" t="s">
        <v>793</v>
      </c>
      <c r="B1622" s="3" t="s">
        <v>1007</v>
      </c>
      <c r="C1622" s="3" t="s">
        <v>1240</v>
      </c>
      <c r="D1622" s="3" t="s">
        <v>17</v>
      </c>
      <c r="E1622" s="3" t="s">
        <v>755</v>
      </c>
      <c r="F1622" s="3" t="s">
        <v>19</v>
      </c>
      <c r="G1622" s="4">
        <v>0</v>
      </c>
      <c r="H1622" s="4">
        <v>3097880</v>
      </c>
      <c r="I1622" s="3" t="s">
        <v>162</v>
      </c>
      <c r="J1622" s="4">
        <v>60</v>
      </c>
      <c r="K1622" s="3" t="s">
        <v>21</v>
      </c>
      <c r="L1622" s="4">
        <v>486000</v>
      </c>
      <c r="M1622" s="1">
        <f>O1622*J1622*K1622</f>
        <v>0</v>
      </c>
      <c r="N1622" s="3"/>
      <c r="O1622" s="2">
        <f>L1622/J1622*(1-K1622)</f>
        <v>8100</v>
      </c>
    </row>
    <row r="1623" ht="14.25">
      <c r="A1623" s="3" t="s">
        <v>793</v>
      </c>
      <c r="B1623" s="3" t="s">
        <v>1007</v>
      </c>
      <c r="C1623" s="3" t="s">
        <v>1240</v>
      </c>
      <c r="D1623" s="3" t="s">
        <v>17</v>
      </c>
      <c r="E1623" s="3" t="s">
        <v>755</v>
      </c>
      <c r="F1623" s="3" t="s">
        <v>19</v>
      </c>
      <c r="G1623" s="4">
        <v>0</v>
      </c>
      <c r="H1623" s="4">
        <v>3097880</v>
      </c>
      <c r="I1623" s="3" t="s">
        <v>108</v>
      </c>
      <c r="J1623" s="4">
        <v>48</v>
      </c>
      <c r="K1623" s="3" t="s">
        <v>21</v>
      </c>
      <c r="L1623" s="4">
        <v>1248000</v>
      </c>
      <c r="M1623" s="1">
        <f>O1623*J1623*K1623</f>
        <v>0</v>
      </c>
      <c r="N1623" s="3"/>
      <c r="O1623" s="2">
        <f>L1623/J1623*(1-K1623)</f>
        <v>26000</v>
      </c>
    </row>
    <row r="1624" ht="14.25">
      <c r="A1624" s="3" t="s">
        <v>793</v>
      </c>
      <c r="B1624" s="3" t="s">
        <v>1007</v>
      </c>
      <c r="C1624" s="3" t="s">
        <v>1240</v>
      </c>
      <c r="D1624" s="3" t="s">
        <v>17</v>
      </c>
      <c r="E1624" s="3" t="s">
        <v>755</v>
      </c>
      <c r="F1624" s="3" t="s">
        <v>19</v>
      </c>
      <c r="G1624" s="4">
        <v>0</v>
      </c>
      <c r="H1624" s="4">
        <v>3097880</v>
      </c>
      <c r="I1624" s="3" t="s">
        <v>32</v>
      </c>
      <c r="J1624" s="4">
        <v>48</v>
      </c>
      <c r="K1624" s="3" t="s">
        <v>21</v>
      </c>
      <c r="L1624" s="4">
        <v>1224000</v>
      </c>
      <c r="M1624" s="1">
        <f>O1624*J1624*K1624</f>
        <v>0</v>
      </c>
      <c r="N1624" s="3"/>
      <c r="O1624" s="2">
        <f>L1624/J1624*(1-K1624)</f>
        <v>25500</v>
      </c>
    </row>
    <row r="1625" ht="14.25">
      <c r="A1625" s="3" t="s">
        <v>793</v>
      </c>
      <c r="B1625" s="3" t="s">
        <v>793</v>
      </c>
      <c r="C1625" s="3" t="s">
        <v>1241</v>
      </c>
      <c r="D1625" s="3" t="s">
        <v>17</v>
      </c>
      <c r="E1625" s="3" t="s">
        <v>1242</v>
      </c>
      <c r="F1625" s="3" t="s">
        <v>19</v>
      </c>
      <c r="G1625" s="4">
        <v>0</v>
      </c>
      <c r="H1625" s="4">
        <v>1064292</v>
      </c>
      <c r="I1625" s="3" t="s">
        <v>210</v>
      </c>
      <c r="J1625" s="4">
        <v>6</v>
      </c>
      <c r="K1625" s="3" t="s">
        <v>21</v>
      </c>
      <c r="L1625" s="4">
        <v>253332</v>
      </c>
      <c r="M1625" s="1">
        <f>O1625*J1625*K1625</f>
        <v>0</v>
      </c>
      <c r="N1625" s="3"/>
      <c r="O1625" s="2">
        <f>L1625/J1625*(1-K1625)</f>
        <v>42222</v>
      </c>
    </row>
    <row r="1626" ht="14.25">
      <c r="A1626" s="3" t="s">
        <v>793</v>
      </c>
      <c r="B1626" s="3" t="s">
        <v>793</v>
      </c>
      <c r="C1626" s="3" t="s">
        <v>1241</v>
      </c>
      <c r="D1626" s="3" t="s">
        <v>17</v>
      </c>
      <c r="E1626" s="3" t="s">
        <v>1242</v>
      </c>
      <c r="F1626" s="3" t="s">
        <v>19</v>
      </c>
      <c r="G1626" s="4">
        <v>0</v>
      </c>
      <c r="H1626" s="4">
        <v>1064292</v>
      </c>
      <c r="I1626" s="3" t="s">
        <v>137</v>
      </c>
      <c r="J1626" s="4">
        <v>20</v>
      </c>
      <c r="K1626" s="3" t="s">
        <v>21</v>
      </c>
      <c r="L1626" s="4">
        <v>810960</v>
      </c>
      <c r="M1626" s="1">
        <f>O1626*J1626*K1626</f>
        <v>0</v>
      </c>
      <c r="N1626" s="3"/>
      <c r="O1626" s="2">
        <f>L1626/J1626*(1-K1626)</f>
        <v>40548</v>
      </c>
    </row>
    <row r="1627" ht="14.25">
      <c r="A1627" s="3" t="s">
        <v>793</v>
      </c>
      <c r="B1627" s="3" t="s">
        <v>1007</v>
      </c>
      <c r="C1627" s="3" t="s">
        <v>1243</v>
      </c>
      <c r="D1627" s="3" t="s">
        <v>17</v>
      </c>
      <c r="E1627" s="3" t="s">
        <v>1049</v>
      </c>
      <c r="F1627" s="3" t="s">
        <v>19</v>
      </c>
      <c r="G1627" s="4">
        <v>0</v>
      </c>
      <c r="H1627" s="4">
        <v>330000</v>
      </c>
      <c r="I1627" s="3" t="s">
        <v>1244</v>
      </c>
      <c r="J1627" s="4">
        <v>11</v>
      </c>
      <c r="K1627" s="3" t="s">
        <v>21</v>
      </c>
      <c r="L1627" s="4">
        <v>330000</v>
      </c>
      <c r="M1627" s="1">
        <f>O1627*J1627*K1627</f>
        <v>0</v>
      </c>
      <c r="N1627" s="3"/>
      <c r="O1627" s="2">
        <f>L1627/J1627*(1-K1627)</f>
        <v>30000</v>
      </c>
    </row>
    <row r="1628" ht="14.25">
      <c r="A1628" s="3" t="s">
        <v>793</v>
      </c>
      <c r="B1628" s="3" t="s">
        <v>793</v>
      </c>
      <c r="C1628" s="3" t="s">
        <v>1245</v>
      </c>
      <c r="D1628" s="3" t="s">
        <v>17</v>
      </c>
      <c r="E1628" s="3" t="s">
        <v>428</v>
      </c>
      <c r="F1628" s="3" t="s">
        <v>19</v>
      </c>
      <c r="G1628" s="4">
        <v>0</v>
      </c>
      <c r="H1628" s="4">
        <v>1000000</v>
      </c>
      <c r="I1628" s="3" t="s">
        <v>731</v>
      </c>
      <c r="J1628" s="4">
        <v>2</v>
      </c>
      <c r="K1628" s="3" t="s">
        <v>21</v>
      </c>
      <c r="L1628" s="4">
        <v>1000000</v>
      </c>
      <c r="M1628" s="1">
        <f>O1628*J1628*K1628</f>
        <v>0</v>
      </c>
      <c r="N1628" s="3"/>
      <c r="O1628" s="2">
        <f>L1628/J1628*(1-K1628)</f>
        <v>500000</v>
      </c>
    </row>
    <row r="1629" ht="14.25">
      <c r="A1629" s="3" t="s">
        <v>793</v>
      </c>
      <c r="B1629" s="3" t="s">
        <v>793</v>
      </c>
      <c r="C1629" s="3" t="s">
        <v>1246</v>
      </c>
      <c r="D1629" s="3" t="s">
        <v>17</v>
      </c>
      <c r="E1629" s="3" t="s">
        <v>1247</v>
      </c>
      <c r="F1629" s="3" t="s">
        <v>19</v>
      </c>
      <c r="G1629" s="4">
        <v>0</v>
      </c>
      <c r="H1629" s="4">
        <v>528000</v>
      </c>
      <c r="I1629" s="3" t="s">
        <v>517</v>
      </c>
      <c r="J1629" s="4">
        <v>12</v>
      </c>
      <c r="K1629" s="3" t="s">
        <v>21</v>
      </c>
      <c r="L1629" s="4">
        <v>528000</v>
      </c>
      <c r="M1629" s="1">
        <f>O1629*J1629*K1629</f>
        <v>0</v>
      </c>
      <c r="N1629" s="3"/>
      <c r="O1629" s="2">
        <f>L1629/J1629*(1-K1629)</f>
        <v>44000</v>
      </c>
    </row>
    <row r="1630" ht="14.25">
      <c r="A1630" s="3" t="s">
        <v>793</v>
      </c>
      <c r="B1630" s="3" t="s">
        <v>793</v>
      </c>
      <c r="C1630" s="3" t="s">
        <v>1248</v>
      </c>
      <c r="D1630" s="3" t="s">
        <v>17</v>
      </c>
      <c r="E1630" s="3" t="s">
        <v>933</v>
      </c>
      <c r="F1630" s="3" t="s">
        <v>19</v>
      </c>
      <c r="G1630" s="4">
        <v>0</v>
      </c>
      <c r="H1630" s="4">
        <v>846640</v>
      </c>
      <c r="I1630" s="3" t="s">
        <v>66</v>
      </c>
      <c r="J1630" s="4">
        <v>2</v>
      </c>
      <c r="K1630" s="3" t="s">
        <v>21</v>
      </c>
      <c r="L1630" s="4">
        <v>846640</v>
      </c>
      <c r="M1630" s="1">
        <f>O1630*J1630*K1630</f>
        <v>0</v>
      </c>
      <c r="N1630" s="3"/>
      <c r="O1630" s="2">
        <f>L1630/J1630*(1-K1630)</f>
        <v>423320</v>
      </c>
    </row>
    <row r="1631" ht="14.25">
      <c r="A1631" s="3" t="s">
        <v>793</v>
      </c>
      <c r="B1631" s="3" t="s">
        <v>793</v>
      </c>
      <c r="C1631" s="3" t="s">
        <v>1249</v>
      </c>
      <c r="D1631" s="3" t="s">
        <v>17</v>
      </c>
      <c r="E1631" s="3" t="s">
        <v>1115</v>
      </c>
      <c r="F1631" s="3" t="s">
        <v>19</v>
      </c>
      <c r="G1631" s="4">
        <v>0</v>
      </c>
      <c r="H1631" s="4">
        <v>0</v>
      </c>
      <c r="I1631" s="3" t="s">
        <v>1250</v>
      </c>
      <c r="J1631" s="4">
        <v>1</v>
      </c>
      <c r="K1631" s="3" t="s">
        <v>21</v>
      </c>
      <c r="L1631" s="4">
        <v>0</v>
      </c>
      <c r="M1631" s="1">
        <f>O1631*J1631*K1631</f>
        <v>0</v>
      </c>
      <c r="N1631" s="3"/>
      <c r="O1631" s="2">
        <f>L1631/J1631*(1-K1631)</f>
        <v>0</v>
      </c>
    </row>
    <row r="1632" ht="14.25">
      <c r="A1632" s="3" t="s">
        <v>793</v>
      </c>
      <c r="B1632" s="3" t="s">
        <v>793</v>
      </c>
      <c r="C1632" s="3" t="s">
        <v>1249</v>
      </c>
      <c r="D1632" s="3" t="s">
        <v>17</v>
      </c>
      <c r="E1632" s="3" t="s">
        <v>1115</v>
      </c>
      <c r="F1632" s="3" t="s">
        <v>19</v>
      </c>
      <c r="G1632" s="4">
        <v>0</v>
      </c>
      <c r="H1632" s="4">
        <v>0</v>
      </c>
      <c r="I1632" s="3" t="s">
        <v>161</v>
      </c>
      <c r="J1632" s="4">
        <v>1</v>
      </c>
      <c r="K1632" s="3" t="s">
        <v>21</v>
      </c>
      <c r="L1632" s="4">
        <v>0</v>
      </c>
      <c r="M1632" s="1">
        <f>O1632*J1632*K1632</f>
        <v>0</v>
      </c>
      <c r="N1632" s="3"/>
      <c r="O1632" s="2">
        <f>L1632/J1632*(1-K1632)</f>
        <v>0</v>
      </c>
    </row>
    <row r="1633" ht="14.25">
      <c r="A1633" s="3" t="s">
        <v>793</v>
      </c>
      <c r="B1633" s="3" t="s">
        <v>793</v>
      </c>
      <c r="C1633" s="3" t="s">
        <v>1249</v>
      </c>
      <c r="D1633" s="3" t="s">
        <v>17</v>
      </c>
      <c r="E1633" s="3" t="s">
        <v>1115</v>
      </c>
      <c r="F1633" s="3" t="s">
        <v>19</v>
      </c>
      <c r="G1633" s="4">
        <v>0</v>
      </c>
      <c r="H1633" s="4">
        <v>0</v>
      </c>
      <c r="I1633" s="3" t="s">
        <v>166</v>
      </c>
      <c r="J1633" s="4">
        <v>1</v>
      </c>
      <c r="K1633" s="3" t="s">
        <v>21</v>
      </c>
      <c r="L1633" s="4">
        <v>0</v>
      </c>
      <c r="M1633" s="1">
        <f>O1633*J1633*K1633</f>
        <v>0</v>
      </c>
      <c r="N1633" s="3"/>
      <c r="O1633" s="2">
        <f>L1633/J1633*(1-K1633)</f>
        <v>0</v>
      </c>
    </row>
    <row r="1634" ht="14.25">
      <c r="A1634" s="3" t="s">
        <v>793</v>
      </c>
      <c r="B1634" s="3" t="s">
        <v>1007</v>
      </c>
      <c r="C1634" s="3" t="s">
        <v>1251</v>
      </c>
      <c r="D1634" s="3" t="s">
        <v>17</v>
      </c>
      <c r="E1634" s="3" t="s">
        <v>34</v>
      </c>
      <c r="F1634" s="3" t="s">
        <v>19</v>
      </c>
      <c r="G1634" s="4">
        <v>0</v>
      </c>
      <c r="H1634" s="4">
        <v>35860000</v>
      </c>
      <c r="I1634" s="3" t="s">
        <v>39</v>
      </c>
      <c r="J1634" s="4">
        <v>3</v>
      </c>
      <c r="K1634" s="3" t="s">
        <v>21</v>
      </c>
      <c r="L1634" s="4">
        <v>9900000</v>
      </c>
      <c r="M1634" s="1">
        <f>O1634*J1634*K1634</f>
        <v>0</v>
      </c>
      <c r="N1634" s="3"/>
      <c r="O1634" s="2">
        <f>L1634/J1634*(1-K1634)</f>
        <v>3300000</v>
      </c>
    </row>
    <row r="1635" ht="14.25">
      <c r="A1635" s="3" t="s">
        <v>793</v>
      </c>
      <c r="B1635" s="3" t="s">
        <v>1007</v>
      </c>
      <c r="C1635" s="3" t="s">
        <v>1251</v>
      </c>
      <c r="D1635" s="3" t="s">
        <v>17</v>
      </c>
      <c r="E1635" s="3" t="s">
        <v>34</v>
      </c>
      <c r="F1635" s="3" t="s">
        <v>19</v>
      </c>
      <c r="G1635" s="4">
        <v>0</v>
      </c>
      <c r="H1635" s="4">
        <v>35860000</v>
      </c>
      <c r="I1635" s="3" t="s">
        <v>35</v>
      </c>
      <c r="J1635" s="4">
        <v>2</v>
      </c>
      <c r="K1635" s="3" t="s">
        <v>21</v>
      </c>
      <c r="L1635" s="4">
        <v>7300000</v>
      </c>
      <c r="M1635" s="1">
        <f>O1635*J1635*K1635</f>
        <v>0</v>
      </c>
      <c r="N1635" s="3"/>
      <c r="O1635" s="2">
        <f>L1635/J1635*(1-K1635)</f>
        <v>3650000</v>
      </c>
    </row>
    <row r="1636" ht="14.25">
      <c r="A1636" s="3" t="s">
        <v>793</v>
      </c>
      <c r="B1636" s="3" t="s">
        <v>1007</v>
      </c>
      <c r="C1636" s="3" t="s">
        <v>1251</v>
      </c>
      <c r="D1636" s="3" t="s">
        <v>17</v>
      </c>
      <c r="E1636" s="3" t="s">
        <v>34</v>
      </c>
      <c r="F1636" s="3" t="s">
        <v>19</v>
      </c>
      <c r="G1636" s="4">
        <v>0</v>
      </c>
      <c r="H1636" s="4">
        <v>35860000</v>
      </c>
      <c r="I1636" s="3" t="s">
        <v>497</v>
      </c>
      <c r="J1636" s="4">
        <v>2</v>
      </c>
      <c r="K1636" s="3" t="s">
        <v>21</v>
      </c>
      <c r="L1636" s="4">
        <v>7500000</v>
      </c>
      <c r="M1636" s="1">
        <f>O1636*J1636*K1636</f>
        <v>0</v>
      </c>
      <c r="N1636" s="3"/>
      <c r="O1636" s="2">
        <f>L1636/J1636*(1-K1636)</f>
        <v>3750000</v>
      </c>
    </row>
    <row r="1637" ht="14.25">
      <c r="A1637" s="3" t="s">
        <v>793</v>
      </c>
      <c r="B1637" s="3" t="s">
        <v>1007</v>
      </c>
      <c r="C1637" s="3" t="s">
        <v>1251</v>
      </c>
      <c r="D1637" s="3" t="s">
        <v>17</v>
      </c>
      <c r="E1637" s="3" t="s">
        <v>34</v>
      </c>
      <c r="F1637" s="3" t="s">
        <v>19</v>
      </c>
      <c r="G1637" s="4">
        <v>0</v>
      </c>
      <c r="H1637" s="4">
        <v>35860000</v>
      </c>
      <c r="I1637" s="3" t="s">
        <v>82</v>
      </c>
      <c r="J1637" s="4">
        <v>2</v>
      </c>
      <c r="K1637" s="3" t="s">
        <v>21</v>
      </c>
      <c r="L1637" s="4">
        <v>7300000</v>
      </c>
      <c r="M1637" s="1">
        <f>O1637*J1637*K1637</f>
        <v>0</v>
      </c>
      <c r="N1637" s="3"/>
      <c r="O1637" s="2">
        <f>L1637/J1637*(1-K1637)</f>
        <v>3650000</v>
      </c>
    </row>
    <row r="1638" ht="14.25">
      <c r="A1638" s="3" t="s">
        <v>793</v>
      </c>
      <c r="B1638" s="3" t="s">
        <v>1007</v>
      </c>
      <c r="C1638" s="3" t="s">
        <v>1251</v>
      </c>
      <c r="D1638" s="3" t="s">
        <v>17</v>
      </c>
      <c r="E1638" s="3" t="s">
        <v>34</v>
      </c>
      <c r="F1638" s="3" t="s">
        <v>19</v>
      </c>
      <c r="G1638" s="4">
        <v>0</v>
      </c>
      <c r="H1638" s="4">
        <v>35860000</v>
      </c>
      <c r="I1638" s="3" t="s">
        <v>593</v>
      </c>
      <c r="J1638" s="4">
        <v>2</v>
      </c>
      <c r="K1638" s="3" t="s">
        <v>21</v>
      </c>
      <c r="L1638" s="4">
        <v>1240000</v>
      </c>
      <c r="M1638" s="1">
        <f>O1638*J1638*K1638</f>
        <v>0</v>
      </c>
      <c r="N1638" s="3"/>
      <c r="O1638" s="2">
        <f>L1638/J1638*(1-K1638)</f>
        <v>620000</v>
      </c>
    </row>
    <row r="1639" ht="14.25">
      <c r="A1639" s="3" t="s">
        <v>793</v>
      </c>
      <c r="B1639" s="3" t="s">
        <v>1007</v>
      </c>
      <c r="C1639" s="3" t="s">
        <v>1251</v>
      </c>
      <c r="D1639" s="3" t="s">
        <v>17</v>
      </c>
      <c r="E1639" s="3" t="s">
        <v>34</v>
      </c>
      <c r="F1639" s="3" t="s">
        <v>19</v>
      </c>
      <c r="G1639" s="4">
        <v>0</v>
      </c>
      <c r="H1639" s="4">
        <v>35860000</v>
      </c>
      <c r="I1639" s="3" t="s">
        <v>79</v>
      </c>
      <c r="J1639" s="4">
        <v>2</v>
      </c>
      <c r="K1639" s="3" t="s">
        <v>21</v>
      </c>
      <c r="L1639" s="4">
        <v>1300000</v>
      </c>
      <c r="M1639" s="1">
        <f>O1639*J1639*K1639</f>
        <v>0</v>
      </c>
      <c r="N1639" s="3"/>
      <c r="O1639" s="2">
        <f>L1639/J1639*(1-K1639)</f>
        <v>650000</v>
      </c>
    </row>
    <row r="1640" ht="14.25">
      <c r="A1640" s="3" t="s">
        <v>793</v>
      </c>
      <c r="B1640" s="3" t="s">
        <v>1007</v>
      </c>
      <c r="C1640" s="3" t="s">
        <v>1251</v>
      </c>
      <c r="D1640" s="3" t="s">
        <v>17</v>
      </c>
      <c r="E1640" s="3" t="s">
        <v>34</v>
      </c>
      <c r="F1640" s="3" t="s">
        <v>19</v>
      </c>
      <c r="G1640" s="4">
        <v>0</v>
      </c>
      <c r="H1640" s="4">
        <v>35860000</v>
      </c>
      <c r="I1640" s="3" t="s">
        <v>701</v>
      </c>
      <c r="J1640" s="4">
        <v>6</v>
      </c>
      <c r="K1640" s="3" t="s">
        <v>21</v>
      </c>
      <c r="L1640" s="4">
        <v>1320000</v>
      </c>
      <c r="M1640" s="1">
        <f>O1640*J1640*K1640</f>
        <v>0</v>
      </c>
      <c r="N1640" s="3"/>
      <c r="O1640" s="2">
        <f>L1640/J1640*(1-K1640)</f>
        <v>220000</v>
      </c>
    </row>
    <row r="1641" ht="14.25">
      <c r="A1641" s="3" t="s">
        <v>793</v>
      </c>
      <c r="B1641" s="3" t="s">
        <v>1007</v>
      </c>
      <c r="C1641" s="3" t="s">
        <v>1252</v>
      </c>
      <c r="D1641" s="3" t="s">
        <v>17</v>
      </c>
      <c r="E1641" s="3" t="s">
        <v>191</v>
      </c>
      <c r="F1641" s="3" t="s">
        <v>19</v>
      </c>
      <c r="G1641" s="4">
        <v>0</v>
      </c>
      <c r="H1641" s="4">
        <v>4535000</v>
      </c>
      <c r="I1641" s="3" t="s">
        <v>410</v>
      </c>
      <c r="J1641" s="4">
        <v>10</v>
      </c>
      <c r="K1641" s="3" t="s">
        <v>21</v>
      </c>
      <c r="L1641" s="4">
        <v>3350000</v>
      </c>
      <c r="M1641" s="1">
        <f>O1641*J1641*K1641</f>
        <v>0</v>
      </c>
      <c r="N1641" s="3"/>
      <c r="O1641" s="2">
        <f>L1641/J1641*(1-K1641)</f>
        <v>335000</v>
      </c>
    </row>
    <row r="1642" ht="14.25">
      <c r="A1642" s="3" t="s">
        <v>793</v>
      </c>
      <c r="B1642" s="3" t="s">
        <v>1007</v>
      </c>
      <c r="C1642" s="3" t="s">
        <v>1252</v>
      </c>
      <c r="D1642" s="3" t="s">
        <v>17</v>
      </c>
      <c r="E1642" s="3" t="s">
        <v>191</v>
      </c>
      <c r="F1642" s="3" t="s">
        <v>19</v>
      </c>
      <c r="G1642" s="4">
        <v>0</v>
      </c>
      <c r="H1642" s="4">
        <v>4535000</v>
      </c>
      <c r="I1642" s="3" t="s">
        <v>1253</v>
      </c>
      <c r="J1642" s="4">
        <v>3</v>
      </c>
      <c r="K1642" s="3" t="s">
        <v>21</v>
      </c>
      <c r="L1642" s="4">
        <v>1185000</v>
      </c>
      <c r="M1642" s="1">
        <f>O1642*J1642*K1642</f>
        <v>0</v>
      </c>
      <c r="N1642" s="3"/>
      <c r="O1642" s="2">
        <f>L1642/J1642*(1-K1642)</f>
        <v>395000</v>
      </c>
    </row>
    <row r="1643" ht="14.25">
      <c r="A1643" s="3" t="s">
        <v>793</v>
      </c>
      <c r="B1643" s="3" t="s">
        <v>793</v>
      </c>
      <c r="C1643" s="3" t="s">
        <v>1254</v>
      </c>
      <c r="D1643" s="3" t="s">
        <v>17</v>
      </c>
      <c r="E1643" s="3" t="s">
        <v>782</v>
      </c>
      <c r="F1643" s="3" t="s">
        <v>19</v>
      </c>
      <c r="G1643" s="4">
        <v>0</v>
      </c>
      <c r="H1643" s="4">
        <v>0</v>
      </c>
      <c r="I1643" s="3" t="s">
        <v>1255</v>
      </c>
      <c r="J1643" s="4">
        <v>1</v>
      </c>
      <c r="K1643" s="3" t="s">
        <v>21</v>
      </c>
      <c r="L1643" s="4">
        <v>0</v>
      </c>
      <c r="M1643" s="1">
        <f>O1643*J1643*K1643</f>
        <v>0</v>
      </c>
      <c r="N1643" s="3"/>
      <c r="O1643" s="2">
        <f>L1643/J1643*(1-K1643)</f>
        <v>0</v>
      </c>
    </row>
    <row r="1644" ht="14.25">
      <c r="A1644" s="3" t="s">
        <v>793</v>
      </c>
      <c r="B1644" s="3" t="s">
        <v>793</v>
      </c>
      <c r="C1644" s="3" t="s">
        <v>1254</v>
      </c>
      <c r="D1644" s="3" t="s">
        <v>17</v>
      </c>
      <c r="E1644" s="3" t="s">
        <v>782</v>
      </c>
      <c r="F1644" s="3" t="s">
        <v>19</v>
      </c>
      <c r="G1644" s="4">
        <v>0</v>
      </c>
      <c r="H1644" s="4">
        <v>0</v>
      </c>
      <c r="I1644" s="3" t="s">
        <v>1256</v>
      </c>
      <c r="J1644" s="4">
        <v>1</v>
      </c>
      <c r="K1644" s="3" t="s">
        <v>21</v>
      </c>
      <c r="L1644" s="4">
        <v>0</v>
      </c>
      <c r="M1644" s="1">
        <f>O1644*J1644*K1644</f>
        <v>0</v>
      </c>
      <c r="N1644" s="3"/>
      <c r="O1644" s="2">
        <f>L1644/J1644*(1-K1644)</f>
        <v>0</v>
      </c>
    </row>
    <row r="1645" ht="14.25">
      <c r="A1645" s="3" t="s">
        <v>793</v>
      </c>
      <c r="B1645" s="3" t="s">
        <v>793</v>
      </c>
      <c r="C1645" s="3" t="s">
        <v>1254</v>
      </c>
      <c r="D1645" s="3" t="s">
        <v>17</v>
      </c>
      <c r="E1645" s="3" t="s">
        <v>782</v>
      </c>
      <c r="F1645" s="3" t="s">
        <v>19</v>
      </c>
      <c r="G1645" s="4">
        <v>0</v>
      </c>
      <c r="H1645" s="4">
        <v>0</v>
      </c>
      <c r="I1645" s="3" t="s">
        <v>1257</v>
      </c>
      <c r="J1645" s="4">
        <v>16</v>
      </c>
      <c r="K1645" s="3" t="s">
        <v>21</v>
      </c>
      <c r="L1645" s="4">
        <v>0</v>
      </c>
      <c r="M1645" s="1">
        <f>O1645*J1645*K1645</f>
        <v>0</v>
      </c>
      <c r="N1645" s="3"/>
      <c r="O1645" s="2">
        <f>L1645/J1645*(1-K1645)</f>
        <v>0</v>
      </c>
    </row>
    <row r="1646" ht="14.25">
      <c r="A1646" s="3" t="s">
        <v>793</v>
      </c>
      <c r="B1646" s="3" t="s">
        <v>793</v>
      </c>
      <c r="C1646" s="3" t="s">
        <v>1254</v>
      </c>
      <c r="D1646" s="3" t="s">
        <v>17</v>
      </c>
      <c r="E1646" s="3" t="s">
        <v>782</v>
      </c>
      <c r="F1646" s="3" t="s">
        <v>19</v>
      </c>
      <c r="G1646" s="4">
        <v>0</v>
      </c>
      <c r="H1646" s="4">
        <v>0</v>
      </c>
      <c r="I1646" s="3" t="s">
        <v>150</v>
      </c>
      <c r="J1646" s="4">
        <v>16</v>
      </c>
      <c r="K1646" s="3" t="s">
        <v>21</v>
      </c>
      <c r="L1646" s="4">
        <v>0</v>
      </c>
      <c r="M1646" s="1">
        <f>O1646*J1646*K1646</f>
        <v>0</v>
      </c>
      <c r="N1646" s="3"/>
      <c r="O1646" s="2">
        <f>L1646/J1646*(1-K1646)</f>
        <v>0</v>
      </c>
    </row>
    <row r="1647" ht="14.25">
      <c r="A1647" s="3" t="s">
        <v>793</v>
      </c>
      <c r="B1647" s="3" t="s">
        <v>793</v>
      </c>
      <c r="C1647" s="3" t="s">
        <v>1254</v>
      </c>
      <c r="D1647" s="3" t="s">
        <v>17</v>
      </c>
      <c r="E1647" s="3" t="s">
        <v>782</v>
      </c>
      <c r="F1647" s="3" t="s">
        <v>19</v>
      </c>
      <c r="G1647" s="4">
        <v>0</v>
      </c>
      <c r="H1647" s="4">
        <v>0</v>
      </c>
      <c r="I1647" s="3" t="s">
        <v>832</v>
      </c>
      <c r="J1647" s="4">
        <v>19</v>
      </c>
      <c r="K1647" s="3" t="s">
        <v>21</v>
      </c>
      <c r="L1647" s="4">
        <v>0</v>
      </c>
      <c r="M1647" s="1">
        <f>O1647*J1647*K1647</f>
        <v>0</v>
      </c>
      <c r="N1647" s="3"/>
      <c r="O1647" s="2">
        <f>L1647/J1647*(1-K1647)</f>
        <v>0</v>
      </c>
    </row>
    <row r="1648" ht="14.25">
      <c r="A1648" s="3" t="s">
        <v>793</v>
      </c>
      <c r="B1648" s="3" t="s">
        <v>793</v>
      </c>
      <c r="C1648" s="3" t="s">
        <v>1254</v>
      </c>
      <c r="D1648" s="3" t="s">
        <v>17</v>
      </c>
      <c r="E1648" s="3" t="s">
        <v>782</v>
      </c>
      <c r="F1648" s="3" t="s">
        <v>19</v>
      </c>
      <c r="G1648" s="4">
        <v>0</v>
      </c>
      <c r="H1648" s="4">
        <v>0</v>
      </c>
      <c r="I1648" s="3" t="s">
        <v>352</v>
      </c>
      <c r="J1648" s="4">
        <v>11</v>
      </c>
      <c r="K1648" s="3" t="s">
        <v>21</v>
      </c>
      <c r="L1648" s="4">
        <v>0</v>
      </c>
      <c r="M1648" s="1">
        <f>O1648*J1648*K1648</f>
        <v>0</v>
      </c>
      <c r="N1648" s="3"/>
      <c r="O1648" s="2">
        <f>L1648/J1648*(1-K1648)</f>
        <v>0</v>
      </c>
    </row>
    <row r="1649" ht="14.25">
      <c r="A1649" s="3" t="s">
        <v>799</v>
      </c>
      <c r="B1649" s="3" t="s">
        <v>799</v>
      </c>
      <c r="C1649" s="3" t="s">
        <v>1258</v>
      </c>
      <c r="D1649" s="3" t="s">
        <v>159</v>
      </c>
      <c r="E1649" s="3" t="s">
        <v>324</v>
      </c>
      <c r="F1649" s="3" t="s">
        <v>19</v>
      </c>
      <c r="G1649" s="4">
        <v>107264000</v>
      </c>
      <c r="H1649" s="4">
        <v>107264000</v>
      </c>
      <c r="I1649" s="3" t="s">
        <v>171</v>
      </c>
      <c r="J1649" s="4">
        <v>2</v>
      </c>
      <c r="K1649" s="3" t="s">
        <v>21</v>
      </c>
      <c r="L1649" s="4">
        <v>9392000</v>
      </c>
      <c r="M1649" s="1">
        <f>O1649*J1649*K1649</f>
        <v>0</v>
      </c>
      <c r="N1649" s="3"/>
      <c r="O1649" s="2">
        <f>L1649/J1649*(1-K1649)</f>
        <v>4696000</v>
      </c>
    </row>
    <row r="1650" ht="14.25">
      <c r="A1650" s="3" t="s">
        <v>799</v>
      </c>
      <c r="B1650" s="3" t="s">
        <v>799</v>
      </c>
      <c r="C1650" s="3" t="s">
        <v>1258</v>
      </c>
      <c r="D1650" s="3" t="s">
        <v>159</v>
      </c>
      <c r="E1650" s="3" t="s">
        <v>324</v>
      </c>
      <c r="F1650" s="3" t="s">
        <v>19</v>
      </c>
      <c r="G1650" s="4">
        <v>107264000</v>
      </c>
      <c r="H1650" s="4">
        <v>107264000</v>
      </c>
      <c r="I1650" s="3" t="s">
        <v>801</v>
      </c>
      <c r="J1650" s="4">
        <v>2</v>
      </c>
      <c r="K1650" s="3" t="s">
        <v>21</v>
      </c>
      <c r="L1650" s="4">
        <v>9760000</v>
      </c>
      <c r="M1650" s="1">
        <f>O1650*J1650*K1650</f>
        <v>0</v>
      </c>
      <c r="N1650" s="3"/>
      <c r="O1650" s="2">
        <f>L1650/J1650*(1-K1650)</f>
        <v>4880000</v>
      </c>
    </row>
    <row r="1651" ht="14.25">
      <c r="A1651" s="3" t="s">
        <v>799</v>
      </c>
      <c r="B1651" s="3" t="s">
        <v>799</v>
      </c>
      <c r="C1651" s="3" t="s">
        <v>1258</v>
      </c>
      <c r="D1651" s="3" t="s">
        <v>159</v>
      </c>
      <c r="E1651" s="3" t="s">
        <v>324</v>
      </c>
      <c r="F1651" s="3" t="s">
        <v>19</v>
      </c>
      <c r="G1651" s="4">
        <v>107264000</v>
      </c>
      <c r="H1651" s="4">
        <v>107264000</v>
      </c>
      <c r="I1651" s="3" t="s">
        <v>1259</v>
      </c>
      <c r="J1651" s="4">
        <v>1</v>
      </c>
      <c r="K1651" s="3" t="s">
        <v>21</v>
      </c>
      <c r="L1651" s="4">
        <v>5264000</v>
      </c>
      <c r="M1651" s="1">
        <f>O1651*J1651*K1651</f>
        <v>0</v>
      </c>
      <c r="N1651" s="3"/>
      <c r="O1651" s="2">
        <f>L1651/J1651*(1-K1651)</f>
        <v>5264000</v>
      </c>
    </row>
    <row r="1652" ht="14.25">
      <c r="A1652" s="3" t="s">
        <v>799</v>
      </c>
      <c r="B1652" s="3" t="s">
        <v>799</v>
      </c>
      <c r="C1652" s="3" t="s">
        <v>1258</v>
      </c>
      <c r="D1652" s="3" t="s">
        <v>159</v>
      </c>
      <c r="E1652" s="3" t="s">
        <v>324</v>
      </c>
      <c r="F1652" s="3" t="s">
        <v>19</v>
      </c>
      <c r="G1652" s="4">
        <v>107264000</v>
      </c>
      <c r="H1652" s="4">
        <v>107264000</v>
      </c>
      <c r="I1652" s="3" t="s">
        <v>1260</v>
      </c>
      <c r="J1652" s="4">
        <v>1</v>
      </c>
      <c r="K1652" s="3" t="s">
        <v>21</v>
      </c>
      <c r="L1652" s="4">
        <v>4944000</v>
      </c>
      <c r="M1652" s="1">
        <f>O1652*J1652*K1652</f>
        <v>0</v>
      </c>
      <c r="N1652" s="3"/>
      <c r="O1652" s="2">
        <f>L1652/J1652*(1-K1652)</f>
        <v>4944000</v>
      </c>
    </row>
    <row r="1653" ht="14.25">
      <c r="A1653" s="3" t="s">
        <v>799</v>
      </c>
      <c r="B1653" s="3" t="s">
        <v>799</v>
      </c>
      <c r="C1653" s="3" t="s">
        <v>1258</v>
      </c>
      <c r="D1653" s="3" t="s">
        <v>159</v>
      </c>
      <c r="E1653" s="3" t="s">
        <v>324</v>
      </c>
      <c r="F1653" s="3" t="s">
        <v>19</v>
      </c>
      <c r="G1653" s="4">
        <v>107264000</v>
      </c>
      <c r="H1653" s="4">
        <v>107264000</v>
      </c>
      <c r="I1653" s="3" t="s">
        <v>1261</v>
      </c>
      <c r="J1653" s="4">
        <v>2</v>
      </c>
      <c r="K1653" s="3" t="s">
        <v>21</v>
      </c>
      <c r="L1653" s="4">
        <v>9088000</v>
      </c>
      <c r="M1653" s="1">
        <f>O1653*J1653*K1653</f>
        <v>0</v>
      </c>
      <c r="N1653" s="3"/>
      <c r="O1653" s="2">
        <f>L1653/J1653*(1-K1653)</f>
        <v>4544000</v>
      </c>
    </row>
    <row r="1654" ht="14.25">
      <c r="A1654" s="3" t="s">
        <v>799</v>
      </c>
      <c r="B1654" s="3" t="s">
        <v>799</v>
      </c>
      <c r="C1654" s="3" t="s">
        <v>1258</v>
      </c>
      <c r="D1654" s="3" t="s">
        <v>159</v>
      </c>
      <c r="E1654" s="3" t="s">
        <v>324</v>
      </c>
      <c r="F1654" s="3" t="s">
        <v>19</v>
      </c>
      <c r="G1654" s="4">
        <v>107264000</v>
      </c>
      <c r="H1654" s="4">
        <v>107264000</v>
      </c>
      <c r="I1654" s="3" t="s">
        <v>803</v>
      </c>
      <c r="J1654" s="4">
        <v>5</v>
      </c>
      <c r="K1654" s="3" t="s">
        <v>21</v>
      </c>
      <c r="L1654" s="4">
        <v>2900000</v>
      </c>
      <c r="M1654" s="1">
        <f>O1654*J1654*K1654</f>
        <v>0</v>
      </c>
      <c r="N1654" s="3"/>
      <c r="O1654" s="2">
        <f>L1654/J1654*(1-K1654)</f>
        <v>580000</v>
      </c>
    </row>
    <row r="1655" ht="14.25">
      <c r="A1655" s="3" t="s">
        <v>799</v>
      </c>
      <c r="B1655" s="3" t="s">
        <v>799</v>
      </c>
      <c r="C1655" s="3" t="s">
        <v>1258</v>
      </c>
      <c r="D1655" s="3" t="s">
        <v>159</v>
      </c>
      <c r="E1655" s="3" t="s">
        <v>324</v>
      </c>
      <c r="F1655" s="3" t="s">
        <v>19</v>
      </c>
      <c r="G1655" s="4">
        <v>107264000</v>
      </c>
      <c r="H1655" s="4">
        <v>107264000</v>
      </c>
      <c r="I1655" s="3" t="s">
        <v>802</v>
      </c>
      <c r="J1655" s="4">
        <v>17</v>
      </c>
      <c r="K1655" s="3" t="s">
        <v>21</v>
      </c>
      <c r="L1655" s="4">
        <v>9316000</v>
      </c>
      <c r="M1655" s="1">
        <f>O1655*J1655*K1655</f>
        <v>0</v>
      </c>
      <c r="N1655" s="3"/>
      <c r="O1655" s="2">
        <f>L1655/J1655*(1-K1655)</f>
        <v>548000</v>
      </c>
    </row>
    <row r="1656" ht="14.25">
      <c r="A1656" s="3" t="s">
        <v>799</v>
      </c>
      <c r="B1656" s="3" t="s">
        <v>799</v>
      </c>
      <c r="C1656" s="3" t="s">
        <v>1258</v>
      </c>
      <c r="D1656" s="3" t="s">
        <v>159</v>
      </c>
      <c r="E1656" s="3" t="s">
        <v>324</v>
      </c>
      <c r="F1656" s="3" t="s">
        <v>19</v>
      </c>
      <c r="G1656" s="4">
        <v>107264000</v>
      </c>
      <c r="H1656" s="4">
        <v>107264000</v>
      </c>
      <c r="I1656" s="3" t="s">
        <v>1262</v>
      </c>
      <c r="J1656" s="4">
        <v>8</v>
      </c>
      <c r="K1656" s="3" t="s">
        <v>21</v>
      </c>
      <c r="L1656" s="4">
        <v>36000000</v>
      </c>
      <c r="M1656" s="1">
        <f>O1656*J1656*K1656</f>
        <v>0</v>
      </c>
      <c r="N1656" s="3"/>
      <c r="O1656" s="2">
        <f>L1656/J1656*(1-K1656)</f>
        <v>4500000</v>
      </c>
    </row>
    <row r="1657" ht="14.25">
      <c r="A1657" s="3" t="s">
        <v>799</v>
      </c>
      <c r="B1657" s="3" t="s">
        <v>799</v>
      </c>
      <c r="C1657" s="3" t="s">
        <v>1258</v>
      </c>
      <c r="D1657" s="3" t="s">
        <v>159</v>
      </c>
      <c r="E1657" s="3" t="s">
        <v>324</v>
      </c>
      <c r="F1657" s="3" t="s">
        <v>19</v>
      </c>
      <c r="G1657" s="4">
        <v>107264000</v>
      </c>
      <c r="H1657" s="4">
        <v>107264000</v>
      </c>
      <c r="I1657" s="3" t="s">
        <v>35</v>
      </c>
      <c r="J1657" s="4">
        <v>5</v>
      </c>
      <c r="K1657" s="3" t="s">
        <v>21</v>
      </c>
      <c r="L1657" s="4">
        <v>18500000</v>
      </c>
      <c r="M1657" s="1">
        <f>O1657*J1657*K1657</f>
        <v>0</v>
      </c>
      <c r="N1657" s="3"/>
      <c r="O1657" s="2">
        <f>L1657/J1657*(1-K1657)</f>
        <v>3700000</v>
      </c>
    </row>
    <row r="1658" ht="14.25">
      <c r="A1658" s="3" t="s">
        <v>799</v>
      </c>
      <c r="B1658" s="3" t="s">
        <v>799</v>
      </c>
      <c r="C1658" s="3" t="s">
        <v>1258</v>
      </c>
      <c r="D1658" s="3" t="s">
        <v>159</v>
      </c>
      <c r="E1658" s="3" t="s">
        <v>324</v>
      </c>
      <c r="F1658" s="3" t="s">
        <v>19</v>
      </c>
      <c r="G1658" s="4">
        <v>107264000</v>
      </c>
      <c r="H1658" s="4">
        <v>107264000</v>
      </c>
      <c r="I1658" s="3" t="s">
        <v>1263</v>
      </c>
      <c r="J1658" s="4">
        <v>10</v>
      </c>
      <c r="K1658" s="3" t="s">
        <v>21</v>
      </c>
      <c r="L1658" s="4">
        <v>4100000</v>
      </c>
      <c r="M1658" s="1">
        <f>O1658*J1658*K1658</f>
        <v>0</v>
      </c>
      <c r="N1658" s="3"/>
      <c r="O1658" s="2">
        <f>L1658/J1658*(1-K1658)</f>
        <v>410000</v>
      </c>
    </row>
    <row r="1659" ht="14.25">
      <c r="A1659" s="3" t="s">
        <v>799</v>
      </c>
      <c r="B1659" s="3" t="s">
        <v>799</v>
      </c>
      <c r="C1659" s="3" t="s">
        <v>1264</v>
      </c>
      <c r="D1659" s="3" t="s">
        <v>17</v>
      </c>
      <c r="E1659" s="3" t="s">
        <v>1265</v>
      </c>
      <c r="F1659" s="3" t="s">
        <v>19</v>
      </c>
      <c r="G1659" s="4">
        <v>0</v>
      </c>
      <c r="H1659" s="4">
        <v>7544000</v>
      </c>
      <c r="I1659" s="3" t="s">
        <v>1266</v>
      </c>
      <c r="J1659" s="4">
        <v>1</v>
      </c>
      <c r="K1659" s="3" t="s">
        <v>21</v>
      </c>
      <c r="L1659" s="4">
        <v>4200000</v>
      </c>
      <c r="M1659" s="1">
        <f>O1659*J1659*K1659</f>
        <v>0</v>
      </c>
      <c r="N1659" s="3"/>
      <c r="O1659" s="2">
        <f>L1659/J1659*(1-K1659)</f>
        <v>4200000</v>
      </c>
    </row>
    <row r="1660" ht="14.25">
      <c r="A1660" s="3" t="s">
        <v>799</v>
      </c>
      <c r="B1660" s="3" t="s">
        <v>799</v>
      </c>
      <c r="C1660" s="3" t="s">
        <v>1264</v>
      </c>
      <c r="D1660" s="3" t="s">
        <v>17</v>
      </c>
      <c r="E1660" s="3" t="s">
        <v>1265</v>
      </c>
      <c r="F1660" s="3" t="s">
        <v>19</v>
      </c>
      <c r="G1660" s="4">
        <v>0</v>
      </c>
      <c r="H1660" s="4">
        <v>7544000</v>
      </c>
      <c r="I1660" s="3" t="s">
        <v>54</v>
      </c>
      <c r="J1660" s="4">
        <v>4</v>
      </c>
      <c r="K1660" s="3" t="s">
        <v>21</v>
      </c>
      <c r="L1660" s="4">
        <v>1650720</v>
      </c>
      <c r="M1660" s="1">
        <f>O1660*J1660*K1660</f>
        <v>0</v>
      </c>
      <c r="N1660" s="3"/>
      <c r="O1660" s="2">
        <f>L1660/J1660*(1-K1660)</f>
        <v>412680</v>
      </c>
    </row>
    <row r="1661" ht="14.25">
      <c r="A1661" s="3" t="s">
        <v>799</v>
      </c>
      <c r="B1661" s="3" t="s">
        <v>799</v>
      </c>
      <c r="C1661" s="3" t="s">
        <v>1264</v>
      </c>
      <c r="D1661" s="3" t="s">
        <v>17</v>
      </c>
      <c r="E1661" s="3" t="s">
        <v>1265</v>
      </c>
      <c r="F1661" s="3" t="s">
        <v>19</v>
      </c>
      <c r="G1661" s="4">
        <v>0</v>
      </c>
      <c r="H1661" s="4">
        <v>7544000</v>
      </c>
      <c r="I1661" s="3" t="s">
        <v>66</v>
      </c>
      <c r="J1661" s="4">
        <v>4</v>
      </c>
      <c r="K1661" s="3" t="s">
        <v>21</v>
      </c>
      <c r="L1661" s="4">
        <v>1693280</v>
      </c>
      <c r="M1661" s="1">
        <f>O1661*J1661*K1661</f>
        <v>0</v>
      </c>
      <c r="N1661" s="3"/>
      <c r="O1661" s="2">
        <f>L1661/J1661*(1-K1661)</f>
        <v>423320</v>
      </c>
    </row>
    <row r="1662" ht="14.25">
      <c r="A1662" s="3" t="s">
        <v>799</v>
      </c>
      <c r="B1662" s="3" t="s">
        <v>799</v>
      </c>
      <c r="C1662" s="3" t="s">
        <v>1267</v>
      </c>
      <c r="D1662" s="3" t="s">
        <v>17</v>
      </c>
      <c r="E1662" s="3" t="s">
        <v>513</v>
      </c>
      <c r="F1662" s="3" t="s">
        <v>19</v>
      </c>
      <c r="G1662" s="4">
        <v>0</v>
      </c>
      <c r="H1662" s="4">
        <v>9150000</v>
      </c>
      <c r="I1662" s="3" t="s">
        <v>1268</v>
      </c>
      <c r="J1662" s="4">
        <v>1</v>
      </c>
      <c r="K1662" s="3" t="s">
        <v>21</v>
      </c>
      <c r="L1662" s="4">
        <v>6500000</v>
      </c>
      <c r="M1662" s="1">
        <f>O1662*J1662*K1662</f>
        <v>0</v>
      </c>
      <c r="N1662" s="3"/>
      <c r="O1662" s="2">
        <f>L1662/J1662*(1-K1662)</f>
        <v>6500000</v>
      </c>
    </row>
    <row r="1663" ht="14.25">
      <c r="A1663" s="3" t="s">
        <v>799</v>
      </c>
      <c r="B1663" s="3" t="s">
        <v>799</v>
      </c>
      <c r="C1663" s="3" t="s">
        <v>1267</v>
      </c>
      <c r="D1663" s="3" t="s">
        <v>17</v>
      </c>
      <c r="E1663" s="3" t="s">
        <v>513</v>
      </c>
      <c r="F1663" s="3" t="s">
        <v>19</v>
      </c>
      <c r="G1663" s="4">
        <v>0</v>
      </c>
      <c r="H1663" s="4">
        <v>9150000</v>
      </c>
      <c r="I1663" s="3" t="s">
        <v>122</v>
      </c>
      <c r="J1663" s="4">
        <v>4</v>
      </c>
      <c r="K1663" s="3" t="s">
        <v>21</v>
      </c>
      <c r="L1663" s="4">
        <v>950000</v>
      </c>
      <c r="M1663" s="1">
        <f>O1663*J1663*K1663</f>
        <v>0</v>
      </c>
      <c r="N1663" s="3"/>
      <c r="O1663" s="2">
        <f>L1663/J1663*(1-K1663)</f>
        <v>237500</v>
      </c>
    </row>
    <row r="1664" ht="14.25">
      <c r="A1664" s="3" t="s">
        <v>799</v>
      </c>
      <c r="B1664" s="3" t="s">
        <v>799</v>
      </c>
      <c r="C1664" s="3" t="s">
        <v>1267</v>
      </c>
      <c r="D1664" s="3" t="s">
        <v>17</v>
      </c>
      <c r="E1664" s="3" t="s">
        <v>513</v>
      </c>
      <c r="F1664" s="3" t="s">
        <v>19</v>
      </c>
      <c r="G1664" s="4">
        <v>0</v>
      </c>
      <c r="H1664" s="4">
        <v>9150000</v>
      </c>
      <c r="I1664" s="3" t="s">
        <v>245</v>
      </c>
      <c r="J1664" s="4">
        <v>4</v>
      </c>
      <c r="K1664" s="3" t="s">
        <v>21</v>
      </c>
      <c r="L1664" s="4">
        <v>950000</v>
      </c>
      <c r="M1664" s="1">
        <f>O1664*J1664*K1664</f>
        <v>0</v>
      </c>
      <c r="N1664" s="3"/>
      <c r="O1664" s="2">
        <f>L1664/J1664*(1-K1664)</f>
        <v>237500</v>
      </c>
    </row>
    <row r="1665" ht="14.25">
      <c r="A1665" s="3" t="s">
        <v>799</v>
      </c>
      <c r="B1665" s="3" t="s">
        <v>799</v>
      </c>
      <c r="C1665" s="3" t="s">
        <v>1267</v>
      </c>
      <c r="D1665" s="3" t="s">
        <v>17</v>
      </c>
      <c r="E1665" s="3" t="s">
        <v>513</v>
      </c>
      <c r="F1665" s="3" t="s">
        <v>19</v>
      </c>
      <c r="G1665" s="4">
        <v>0</v>
      </c>
      <c r="H1665" s="4">
        <v>9150000</v>
      </c>
      <c r="I1665" s="3" t="s">
        <v>244</v>
      </c>
      <c r="J1665" s="4">
        <v>12</v>
      </c>
      <c r="K1665" s="3" t="s">
        <v>21</v>
      </c>
      <c r="L1665" s="4">
        <v>750000</v>
      </c>
      <c r="M1665" s="1">
        <f>O1665*J1665*K1665</f>
        <v>0</v>
      </c>
      <c r="N1665" s="3"/>
      <c r="O1665" s="2">
        <f>L1665/J1665*(1-K1665)</f>
        <v>62500</v>
      </c>
    </row>
    <row r="1666" ht="14.25">
      <c r="A1666" s="3" t="s">
        <v>799</v>
      </c>
      <c r="B1666" s="3" t="s">
        <v>799</v>
      </c>
      <c r="C1666" s="3" t="s">
        <v>1269</v>
      </c>
      <c r="D1666" s="3" t="s">
        <v>17</v>
      </c>
      <c r="E1666" s="3" t="s">
        <v>293</v>
      </c>
      <c r="F1666" s="3" t="s">
        <v>19</v>
      </c>
      <c r="G1666" s="4">
        <v>0</v>
      </c>
      <c r="H1666" s="4">
        <v>9738000</v>
      </c>
      <c r="I1666" s="3" t="s">
        <v>885</v>
      </c>
      <c r="J1666" s="4">
        <v>24</v>
      </c>
      <c r="K1666" s="3" t="s">
        <v>21</v>
      </c>
      <c r="L1666" s="4">
        <v>924000</v>
      </c>
      <c r="M1666" s="1">
        <f>O1666*J1666*K1666</f>
        <v>0</v>
      </c>
      <c r="N1666" s="3"/>
      <c r="O1666" s="2">
        <f>L1666/J1666*(1-K1666)</f>
        <v>38500</v>
      </c>
    </row>
    <row r="1667" ht="14.25">
      <c r="A1667" s="3" t="s">
        <v>799</v>
      </c>
      <c r="B1667" s="3" t="s">
        <v>799</v>
      </c>
      <c r="C1667" s="3" t="s">
        <v>1269</v>
      </c>
      <c r="D1667" s="3" t="s">
        <v>17</v>
      </c>
      <c r="E1667" s="3" t="s">
        <v>293</v>
      </c>
      <c r="F1667" s="3" t="s">
        <v>19</v>
      </c>
      <c r="G1667" s="4">
        <v>0</v>
      </c>
      <c r="H1667" s="4">
        <v>9738000</v>
      </c>
      <c r="I1667" s="3" t="s">
        <v>491</v>
      </c>
      <c r="J1667" s="4">
        <v>24</v>
      </c>
      <c r="K1667" s="3" t="s">
        <v>21</v>
      </c>
      <c r="L1667" s="4">
        <v>924000</v>
      </c>
      <c r="M1667" s="1">
        <f>O1667*J1667*K1667</f>
        <v>0</v>
      </c>
      <c r="N1667" s="3"/>
      <c r="O1667" s="2">
        <f>L1667/J1667*(1-K1667)</f>
        <v>38500</v>
      </c>
    </row>
    <row r="1668" ht="14.25">
      <c r="A1668" s="3" t="s">
        <v>799</v>
      </c>
      <c r="B1668" s="3" t="s">
        <v>799</v>
      </c>
      <c r="C1668" s="3" t="s">
        <v>1269</v>
      </c>
      <c r="D1668" s="3" t="s">
        <v>17</v>
      </c>
      <c r="E1668" s="3" t="s">
        <v>293</v>
      </c>
      <c r="F1668" s="3" t="s">
        <v>19</v>
      </c>
      <c r="G1668" s="4">
        <v>0</v>
      </c>
      <c r="H1668" s="4">
        <v>9738000</v>
      </c>
      <c r="I1668" s="3" t="s">
        <v>281</v>
      </c>
      <c r="J1668" s="4">
        <v>96</v>
      </c>
      <c r="K1668" s="3" t="s">
        <v>21</v>
      </c>
      <c r="L1668" s="4">
        <v>912000</v>
      </c>
      <c r="M1668" s="1">
        <f>O1668*J1668*K1668</f>
        <v>0</v>
      </c>
      <c r="N1668" s="3"/>
      <c r="O1668" s="2">
        <f>L1668/J1668*(1-K1668)</f>
        <v>9500</v>
      </c>
    </row>
    <row r="1669" ht="14.25">
      <c r="A1669" s="3" t="s">
        <v>799</v>
      </c>
      <c r="B1669" s="3" t="s">
        <v>799</v>
      </c>
      <c r="C1669" s="3" t="s">
        <v>1269</v>
      </c>
      <c r="D1669" s="3" t="s">
        <v>17</v>
      </c>
      <c r="E1669" s="3" t="s">
        <v>293</v>
      </c>
      <c r="F1669" s="3" t="s">
        <v>19</v>
      </c>
      <c r="G1669" s="4">
        <v>0</v>
      </c>
      <c r="H1669" s="4">
        <v>9738000</v>
      </c>
      <c r="I1669" s="3" t="s">
        <v>45</v>
      </c>
      <c r="J1669" s="4">
        <v>96</v>
      </c>
      <c r="K1669" s="3" t="s">
        <v>21</v>
      </c>
      <c r="L1669" s="4">
        <v>2880000</v>
      </c>
      <c r="M1669" s="1">
        <f>O1669*J1669*K1669</f>
        <v>0</v>
      </c>
      <c r="N1669" s="3"/>
      <c r="O1669" s="2">
        <f>L1669/J1669*(1-K1669)</f>
        <v>30000</v>
      </c>
    </row>
    <row r="1670" ht="14.25">
      <c r="A1670" s="3" t="s">
        <v>799</v>
      </c>
      <c r="B1670" s="3" t="s">
        <v>799</v>
      </c>
      <c r="C1670" s="3" t="s">
        <v>1269</v>
      </c>
      <c r="D1670" s="3" t="s">
        <v>17</v>
      </c>
      <c r="E1670" s="3" t="s">
        <v>293</v>
      </c>
      <c r="F1670" s="3" t="s">
        <v>19</v>
      </c>
      <c r="G1670" s="4">
        <v>0</v>
      </c>
      <c r="H1670" s="4">
        <v>9738000</v>
      </c>
      <c r="I1670" s="3" t="s">
        <v>280</v>
      </c>
      <c r="J1670" s="4">
        <v>24</v>
      </c>
      <c r="K1670" s="3" t="s">
        <v>21</v>
      </c>
      <c r="L1670" s="4">
        <v>840000</v>
      </c>
      <c r="M1670" s="1">
        <f>O1670*J1670*K1670</f>
        <v>0</v>
      </c>
      <c r="N1670" s="3"/>
      <c r="O1670" s="2">
        <f>L1670/J1670*(1-K1670)</f>
        <v>35000</v>
      </c>
    </row>
    <row r="1671" ht="14.25">
      <c r="A1671" s="3" t="s">
        <v>799</v>
      </c>
      <c r="B1671" s="3" t="s">
        <v>799</v>
      </c>
      <c r="C1671" s="3" t="s">
        <v>1269</v>
      </c>
      <c r="D1671" s="3" t="s">
        <v>17</v>
      </c>
      <c r="E1671" s="3" t="s">
        <v>293</v>
      </c>
      <c r="F1671" s="3" t="s">
        <v>19</v>
      </c>
      <c r="G1671" s="4">
        <v>0</v>
      </c>
      <c r="H1671" s="4">
        <v>9738000</v>
      </c>
      <c r="I1671" s="3" t="s">
        <v>424</v>
      </c>
      <c r="J1671" s="4">
        <v>48</v>
      </c>
      <c r="K1671" s="3" t="s">
        <v>21</v>
      </c>
      <c r="L1671" s="4">
        <v>1368000</v>
      </c>
      <c r="M1671" s="1">
        <f>O1671*J1671*K1671</f>
        <v>0</v>
      </c>
      <c r="N1671" s="3"/>
      <c r="O1671" s="2">
        <f>L1671/J1671*(1-K1671)</f>
        <v>28500</v>
      </c>
    </row>
    <row r="1672" ht="14.25">
      <c r="A1672" s="3" t="s">
        <v>799</v>
      </c>
      <c r="B1672" s="3" t="s">
        <v>799</v>
      </c>
      <c r="C1672" s="3" t="s">
        <v>1269</v>
      </c>
      <c r="D1672" s="3" t="s">
        <v>17</v>
      </c>
      <c r="E1672" s="3" t="s">
        <v>293</v>
      </c>
      <c r="F1672" s="3" t="s">
        <v>19</v>
      </c>
      <c r="G1672" s="4">
        <v>0</v>
      </c>
      <c r="H1672" s="4">
        <v>9738000</v>
      </c>
      <c r="I1672" s="3" t="s">
        <v>395</v>
      </c>
      <c r="J1672" s="4">
        <v>6</v>
      </c>
      <c r="K1672" s="3" t="s">
        <v>21</v>
      </c>
      <c r="L1672" s="4">
        <v>750000</v>
      </c>
      <c r="M1672" s="1">
        <f>O1672*J1672*K1672</f>
        <v>0</v>
      </c>
      <c r="N1672" s="3"/>
      <c r="O1672" s="2">
        <f>L1672/J1672*(1-K1672)</f>
        <v>125000</v>
      </c>
    </row>
    <row r="1673" ht="14.25">
      <c r="A1673" s="3" t="s">
        <v>799</v>
      </c>
      <c r="B1673" s="3" t="s">
        <v>799</v>
      </c>
      <c r="C1673" s="3" t="s">
        <v>1269</v>
      </c>
      <c r="D1673" s="3" t="s">
        <v>17</v>
      </c>
      <c r="E1673" s="3" t="s">
        <v>293</v>
      </c>
      <c r="F1673" s="3" t="s">
        <v>19</v>
      </c>
      <c r="G1673" s="4">
        <v>0</v>
      </c>
      <c r="H1673" s="4">
        <v>9738000</v>
      </c>
      <c r="I1673" s="3" t="s">
        <v>380</v>
      </c>
      <c r="J1673" s="4">
        <v>24</v>
      </c>
      <c r="K1673" s="3" t="s">
        <v>21</v>
      </c>
      <c r="L1673" s="4">
        <v>720000</v>
      </c>
      <c r="M1673" s="1">
        <f>O1673*J1673*K1673</f>
        <v>0</v>
      </c>
      <c r="N1673" s="3"/>
      <c r="O1673" s="2">
        <f>L1673/J1673*(1-K1673)</f>
        <v>30000</v>
      </c>
    </row>
    <row r="1674" ht="14.25">
      <c r="A1674" s="3" t="s">
        <v>799</v>
      </c>
      <c r="B1674" s="3" t="s">
        <v>799</v>
      </c>
      <c r="C1674" s="3" t="s">
        <v>1269</v>
      </c>
      <c r="D1674" s="3" t="s">
        <v>17</v>
      </c>
      <c r="E1674" s="3" t="s">
        <v>293</v>
      </c>
      <c r="F1674" s="3" t="s">
        <v>19</v>
      </c>
      <c r="G1674" s="4">
        <v>0</v>
      </c>
      <c r="H1674" s="4">
        <v>9738000</v>
      </c>
      <c r="I1674" s="3" t="s">
        <v>1270</v>
      </c>
      <c r="J1674" s="4">
        <v>48</v>
      </c>
      <c r="K1674" s="3" t="s">
        <v>21</v>
      </c>
      <c r="L1674" s="4">
        <v>420000</v>
      </c>
      <c r="M1674" s="1">
        <f>O1674*J1674*K1674</f>
        <v>0</v>
      </c>
      <c r="N1674" s="3"/>
      <c r="O1674" s="2">
        <f>L1674/J1674*(1-K1674)</f>
        <v>8750</v>
      </c>
    </row>
    <row r="1675" ht="14.25">
      <c r="A1675" s="3" t="s">
        <v>799</v>
      </c>
      <c r="B1675" s="3" t="s">
        <v>799</v>
      </c>
      <c r="C1675" s="3" t="s">
        <v>1271</v>
      </c>
      <c r="D1675" s="3" t="s">
        <v>17</v>
      </c>
      <c r="E1675" s="3" t="s">
        <v>846</v>
      </c>
      <c r="F1675" s="3" t="s">
        <v>19</v>
      </c>
      <c r="G1675" s="4">
        <v>0</v>
      </c>
      <c r="H1675" s="4">
        <v>3220000</v>
      </c>
      <c r="I1675" s="3" t="s">
        <v>335</v>
      </c>
      <c r="J1675" s="4">
        <v>2</v>
      </c>
      <c r="K1675" s="3" t="s">
        <v>21</v>
      </c>
      <c r="L1675" s="4">
        <v>2400000</v>
      </c>
      <c r="M1675" s="1">
        <f>O1675*J1675*K1675</f>
        <v>0</v>
      </c>
      <c r="N1675" s="3"/>
      <c r="O1675" s="2">
        <f>L1675/J1675*(1-K1675)</f>
        <v>1200000</v>
      </c>
    </row>
    <row r="1676" ht="14.25">
      <c r="A1676" s="3" t="s">
        <v>799</v>
      </c>
      <c r="B1676" s="3" t="s">
        <v>799</v>
      </c>
      <c r="C1676" s="3" t="s">
        <v>1271</v>
      </c>
      <c r="D1676" s="3" t="s">
        <v>17</v>
      </c>
      <c r="E1676" s="3" t="s">
        <v>846</v>
      </c>
      <c r="F1676" s="3" t="s">
        <v>19</v>
      </c>
      <c r="G1676" s="4">
        <v>0</v>
      </c>
      <c r="H1676" s="4">
        <v>3220000</v>
      </c>
      <c r="I1676" s="3" t="s">
        <v>848</v>
      </c>
      <c r="J1676" s="4">
        <v>2</v>
      </c>
      <c r="K1676" s="3" t="s">
        <v>21</v>
      </c>
      <c r="L1676" s="4">
        <v>820000</v>
      </c>
      <c r="M1676" s="1">
        <f>O1676*J1676*K1676</f>
        <v>0</v>
      </c>
      <c r="N1676" s="3"/>
      <c r="O1676" s="2">
        <f>L1676/J1676*(1-K1676)</f>
        <v>410000</v>
      </c>
    </row>
    <row r="1677" ht="14.25">
      <c r="A1677" s="3" t="s">
        <v>799</v>
      </c>
      <c r="B1677" s="3" t="s">
        <v>806</v>
      </c>
      <c r="C1677" s="3" t="s">
        <v>1272</v>
      </c>
      <c r="D1677" s="3" t="s">
        <v>17</v>
      </c>
      <c r="E1677" s="3" t="s">
        <v>724</v>
      </c>
      <c r="F1677" s="3" t="s">
        <v>19</v>
      </c>
      <c r="G1677" s="4">
        <v>0</v>
      </c>
      <c r="H1677" s="4">
        <v>3200000</v>
      </c>
      <c r="I1677" s="3" t="s">
        <v>378</v>
      </c>
      <c r="J1677" s="4">
        <v>1</v>
      </c>
      <c r="K1677" s="3" t="s">
        <v>21</v>
      </c>
      <c r="L1677" s="4">
        <v>3200000</v>
      </c>
      <c r="M1677" s="1">
        <f>O1677*J1677*K1677</f>
        <v>0</v>
      </c>
      <c r="N1677" s="3"/>
      <c r="O1677" s="2">
        <f>L1677/J1677*(1-K1677)</f>
        <v>3200000</v>
      </c>
    </row>
    <row r="1678" ht="14.25">
      <c r="A1678" s="3" t="s">
        <v>818</v>
      </c>
      <c r="B1678" s="3" t="s">
        <v>818</v>
      </c>
      <c r="C1678" s="3" t="s">
        <v>1273</v>
      </c>
      <c r="D1678" s="3" t="s">
        <v>17</v>
      </c>
      <c r="E1678" s="3" t="s">
        <v>1274</v>
      </c>
      <c r="F1678" s="3" t="s">
        <v>19</v>
      </c>
      <c r="G1678" s="4">
        <v>0</v>
      </c>
      <c r="H1678" s="4">
        <v>4320000</v>
      </c>
      <c r="I1678" s="3" t="s">
        <v>47</v>
      </c>
      <c r="J1678" s="4">
        <v>24</v>
      </c>
      <c r="K1678" s="3" t="s">
        <v>21</v>
      </c>
      <c r="L1678" s="4">
        <v>864000</v>
      </c>
      <c r="M1678" s="1">
        <f>O1678*J1678*K1678</f>
        <v>0</v>
      </c>
      <c r="N1678" s="3"/>
      <c r="O1678" s="2">
        <f>L1678/J1678*(1-K1678)</f>
        <v>36000</v>
      </c>
    </row>
    <row r="1679" ht="14.25">
      <c r="A1679" s="3" t="s">
        <v>818</v>
      </c>
      <c r="B1679" s="3" t="s">
        <v>818</v>
      </c>
      <c r="C1679" s="3" t="s">
        <v>1273</v>
      </c>
      <c r="D1679" s="3" t="s">
        <v>17</v>
      </c>
      <c r="E1679" s="3" t="s">
        <v>1274</v>
      </c>
      <c r="F1679" s="3" t="s">
        <v>19</v>
      </c>
      <c r="G1679" s="4">
        <v>0</v>
      </c>
      <c r="H1679" s="4">
        <v>4320000</v>
      </c>
      <c r="I1679" s="3" t="s">
        <v>295</v>
      </c>
      <c r="J1679" s="4">
        <v>24</v>
      </c>
      <c r="K1679" s="3" t="s">
        <v>21</v>
      </c>
      <c r="L1679" s="4">
        <v>864000</v>
      </c>
      <c r="M1679" s="1">
        <f>O1679*J1679*K1679</f>
        <v>0</v>
      </c>
      <c r="N1679" s="3"/>
      <c r="O1679" s="2">
        <f>L1679/J1679*(1-K1679)</f>
        <v>36000</v>
      </c>
    </row>
    <row r="1680" ht="14.25">
      <c r="A1680" s="3" t="s">
        <v>818</v>
      </c>
      <c r="B1680" s="3" t="s">
        <v>818</v>
      </c>
      <c r="C1680" s="3" t="s">
        <v>1273</v>
      </c>
      <c r="D1680" s="3" t="s">
        <v>17</v>
      </c>
      <c r="E1680" s="3" t="s">
        <v>1274</v>
      </c>
      <c r="F1680" s="3" t="s">
        <v>19</v>
      </c>
      <c r="G1680" s="4">
        <v>0</v>
      </c>
      <c r="H1680" s="4">
        <v>4320000</v>
      </c>
      <c r="I1680" s="3" t="s">
        <v>884</v>
      </c>
      <c r="J1680" s="4">
        <v>24</v>
      </c>
      <c r="K1680" s="3" t="s">
        <v>21</v>
      </c>
      <c r="L1680" s="4">
        <v>864000</v>
      </c>
      <c r="M1680" s="1">
        <f>O1680*J1680*K1680</f>
        <v>0</v>
      </c>
      <c r="N1680" s="3"/>
      <c r="O1680" s="2">
        <f>L1680/J1680*(1-K1680)</f>
        <v>36000</v>
      </c>
    </row>
    <row r="1681" ht="14.25">
      <c r="A1681" s="3" t="s">
        <v>818</v>
      </c>
      <c r="B1681" s="3" t="s">
        <v>818</v>
      </c>
      <c r="C1681" s="3" t="s">
        <v>1273</v>
      </c>
      <c r="D1681" s="3" t="s">
        <v>17</v>
      </c>
      <c r="E1681" s="3" t="s">
        <v>1274</v>
      </c>
      <c r="F1681" s="3" t="s">
        <v>19</v>
      </c>
      <c r="G1681" s="4">
        <v>0</v>
      </c>
      <c r="H1681" s="4">
        <v>4320000</v>
      </c>
      <c r="I1681" s="3" t="s">
        <v>419</v>
      </c>
      <c r="J1681" s="4">
        <v>24</v>
      </c>
      <c r="K1681" s="3" t="s">
        <v>21</v>
      </c>
      <c r="L1681" s="4">
        <v>864000</v>
      </c>
      <c r="M1681" s="1">
        <f>O1681*J1681*K1681</f>
        <v>0</v>
      </c>
      <c r="N1681" s="3"/>
      <c r="O1681" s="2">
        <f>L1681/J1681*(1-K1681)</f>
        <v>36000</v>
      </c>
    </row>
    <row r="1682" ht="14.25">
      <c r="A1682" s="3" t="s">
        <v>818</v>
      </c>
      <c r="B1682" s="3" t="s">
        <v>818</v>
      </c>
      <c r="C1682" s="3" t="s">
        <v>1273</v>
      </c>
      <c r="D1682" s="3" t="s">
        <v>17</v>
      </c>
      <c r="E1682" s="3" t="s">
        <v>1274</v>
      </c>
      <c r="F1682" s="3" t="s">
        <v>19</v>
      </c>
      <c r="G1682" s="4">
        <v>0</v>
      </c>
      <c r="H1682" s="4">
        <v>4320000</v>
      </c>
      <c r="I1682" s="3" t="s">
        <v>45</v>
      </c>
      <c r="J1682" s="4">
        <v>24</v>
      </c>
      <c r="K1682" s="3" t="s">
        <v>21</v>
      </c>
      <c r="L1682" s="4">
        <v>864000</v>
      </c>
      <c r="M1682" s="1">
        <f>O1682*J1682*K1682</f>
        <v>0</v>
      </c>
      <c r="N1682" s="3"/>
      <c r="O1682" s="2">
        <f>L1682/J1682*(1-K1682)</f>
        <v>36000</v>
      </c>
    </row>
    <row r="1683" ht="14.25">
      <c r="A1683" s="3" t="s">
        <v>818</v>
      </c>
      <c r="B1683" s="3" t="s">
        <v>1275</v>
      </c>
      <c r="C1683" s="3" t="s">
        <v>1276</v>
      </c>
      <c r="D1683" s="3" t="s">
        <v>17</v>
      </c>
      <c r="E1683" s="3" t="s">
        <v>168</v>
      </c>
      <c r="F1683" s="3" t="s">
        <v>19</v>
      </c>
      <c r="G1683" s="4">
        <v>0</v>
      </c>
      <c r="H1683" s="4">
        <v>6708000</v>
      </c>
      <c r="I1683" s="3" t="s">
        <v>124</v>
      </c>
      <c r="J1683" s="4">
        <v>12</v>
      </c>
      <c r="K1683" s="3" t="s">
        <v>21</v>
      </c>
      <c r="L1683" s="4">
        <v>276000</v>
      </c>
      <c r="M1683" s="1">
        <f>O1683*J1683*K1683</f>
        <v>0</v>
      </c>
      <c r="N1683" s="3"/>
      <c r="O1683" s="2">
        <f>L1683/J1683*(1-K1683)</f>
        <v>23000</v>
      </c>
    </row>
    <row r="1684" ht="14.25">
      <c r="A1684" s="3" t="s">
        <v>818</v>
      </c>
      <c r="B1684" s="3" t="s">
        <v>1275</v>
      </c>
      <c r="C1684" s="3" t="s">
        <v>1276</v>
      </c>
      <c r="D1684" s="3" t="s">
        <v>17</v>
      </c>
      <c r="E1684" s="3" t="s">
        <v>168</v>
      </c>
      <c r="F1684" s="3" t="s">
        <v>19</v>
      </c>
      <c r="G1684" s="4">
        <v>0</v>
      </c>
      <c r="H1684" s="4">
        <v>6708000</v>
      </c>
      <c r="I1684" s="3" t="s">
        <v>417</v>
      </c>
      <c r="J1684" s="4">
        <v>24</v>
      </c>
      <c r="K1684" s="3" t="s">
        <v>21</v>
      </c>
      <c r="L1684" s="4">
        <v>3900000</v>
      </c>
      <c r="M1684" s="1">
        <f>O1684*J1684*K1684</f>
        <v>0</v>
      </c>
      <c r="N1684" s="3"/>
      <c r="O1684" s="2">
        <f>L1684/J1684*(1-K1684)</f>
        <v>162500</v>
      </c>
    </row>
    <row r="1685" ht="14.25">
      <c r="A1685" s="3" t="s">
        <v>818</v>
      </c>
      <c r="B1685" s="3" t="s">
        <v>1275</v>
      </c>
      <c r="C1685" s="3" t="s">
        <v>1276</v>
      </c>
      <c r="D1685" s="3" t="s">
        <v>17</v>
      </c>
      <c r="E1685" s="3" t="s">
        <v>168</v>
      </c>
      <c r="F1685" s="3" t="s">
        <v>19</v>
      </c>
      <c r="G1685" s="4">
        <v>0</v>
      </c>
      <c r="H1685" s="4">
        <v>6708000</v>
      </c>
      <c r="I1685" s="3" t="s">
        <v>415</v>
      </c>
      <c r="J1685" s="4">
        <v>12</v>
      </c>
      <c r="K1685" s="3" t="s">
        <v>21</v>
      </c>
      <c r="L1685" s="4">
        <v>432000</v>
      </c>
      <c r="M1685" s="1">
        <f>O1685*J1685*K1685</f>
        <v>0</v>
      </c>
      <c r="N1685" s="3"/>
      <c r="O1685" s="2">
        <f>L1685/J1685*(1-K1685)</f>
        <v>36000</v>
      </c>
    </row>
    <row r="1686" ht="14.25">
      <c r="A1686" s="3" t="s">
        <v>818</v>
      </c>
      <c r="B1686" s="3" t="s">
        <v>1275</v>
      </c>
      <c r="C1686" s="3" t="s">
        <v>1276</v>
      </c>
      <c r="D1686" s="3" t="s">
        <v>17</v>
      </c>
      <c r="E1686" s="3" t="s">
        <v>168</v>
      </c>
      <c r="F1686" s="3" t="s">
        <v>19</v>
      </c>
      <c r="G1686" s="4">
        <v>0</v>
      </c>
      <c r="H1686" s="4">
        <v>6708000</v>
      </c>
      <c r="I1686" s="3" t="s">
        <v>649</v>
      </c>
      <c r="J1686" s="4">
        <v>12</v>
      </c>
      <c r="K1686" s="3" t="s">
        <v>21</v>
      </c>
      <c r="L1686" s="4">
        <v>2100000</v>
      </c>
      <c r="M1686" s="1">
        <f>O1686*J1686*K1686</f>
        <v>0</v>
      </c>
      <c r="N1686" s="3"/>
      <c r="O1686" s="2">
        <f>L1686/J1686*(1-K1686)</f>
        <v>175000</v>
      </c>
    </row>
    <row r="1687" ht="14.25">
      <c r="A1687" s="3" t="s">
        <v>818</v>
      </c>
      <c r="B1687" s="3" t="s">
        <v>1019</v>
      </c>
      <c r="C1687" s="3" t="s">
        <v>1277</v>
      </c>
      <c r="D1687" s="3" t="s">
        <v>17</v>
      </c>
      <c r="E1687" s="3" t="s">
        <v>99</v>
      </c>
      <c r="F1687" s="3" t="s">
        <v>19</v>
      </c>
      <c r="G1687" s="4">
        <v>0</v>
      </c>
      <c r="H1687" s="4">
        <v>9000000</v>
      </c>
      <c r="I1687" s="3" t="s">
        <v>51</v>
      </c>
      <c r="J1687" s="4">
        <v>15</v>
      </c>
      <c r="K1687" s="3" t="s">
        <v>21</v>
      </c>
      <c r="L1687" s="4">
        <v>9000000</v>
      </c>
      <c r="M1687" s="1">
        <f>O1687*J1687*K1687</f>
        <v>0</v>
      </c>
      <c r="N1687" s="3"/>
      <c r="O1687" s="2">
        <f>L1687/J1687*(1-K1687)</f>
        <v>600000</v>
      </c>
    </row>
    <row r="1688" ht="14.25">
      <c r="A1688" s="3" t="s">
        <v>818</v>
      </c>
      <c r="B1688" s="3" t="s">
        <v>818</v>
      </c>
      <c r="C1688" s="3" t="s">
        <v>1278</v>
      </c>
      <c r="D1688" s="3" t="s">
        <v>17</v>
      </c>
      <c r="E1688" s="3" t="s">
        <v>1279</v>
      </c>
      <c r="F1688" s="3" t="s">
        <v>19</v>
      </c>
      <c r="G1688" s="4">
        <v>0</v>
      </c>
      <c r="H1688" s="4">
        <v>10300000</v>
      </c>
      <c r="I1688" s="3" t="s">
        <v>1280</v>
      </c>
      <c r="J1688" s="4">
        <v>1</v>
      </c>
      <c r="K1688" s="3" t="s">
        <v>21</v>
      </c>
      <c r="L1688" s="4">
        <v>3100000</v>
      </c>
      <c r="M1688" s="1">
        <f>O1688*J1688*K1688</f>
        <v>0</v>
      </c>
      <c r="N1688" s="3"/>
      <c r="O1688" s="2">
        <f>L1688/J1688*(1-K1688)</f>
        <v>3100000</v>
      </c>
    </row>
    <row r="1689" ht="14.25">
      <c r="A1689" s="3" t="s">
        <v>818</v>
      </c>
      <c r="B1689" s="3" t="s">
        <v>818</v>
      </c>
      <c r="C1689" s="3" t="s">
        <v>1278</v>
      </c>
      <c r="D1689" s="3" t="s">
        <v>17</v>
      </c>
      <c r="E1689" s="3" t="s">
        <v>1279</v>
      </c>
      <c r="F1689" s="3" t="s">
        <v>19</v>
      </c>
      <c r="G1689" s="4">
        <v>0</v>
      </c>
      <c r="H1689" s="4">
        <v>10300000</v>
      </c>
      <c r="I1689" s="3" t="s">
        <v>39</v>
      </c>
      <c r="J1689" s="4">
        <v>2</v>
      </c>
      <c r="K1689" s="3" t="s">
        <v>21</v>
      </c>
      <c r="L1689" s="4">
        <v>7200000</v>
      </c>
      <c r="M1689" s="1">
        <f>O1689*J1689*K1689</f>
        <v>0</v>
      </c>
      <c r="N1689" s="3"/>
      <c r="O1689" s="2">
        <f>L1689/J1689*(1-K1689)</f>
        <v>3600000</v>
      </c>
    </row>
    <row r="1690" ht="14.25">
      <c r="A1690" s="3" t="s">
        <v>818</v>
      </c>
      <c r="B1690" s="3" t="s">
        <v>1275</v>
      </c>
      <c r="C1690" s="3" t="s">
        <v>1281</v>
      </c>
      <c r="D1690" s="3" t="s">
        <v>17</v>
      </c>
      <c r="E1690" s="3" t="s">
        <v>312</v>
      </c>
      <c r="F1690" s="3" t="s">
        <v>19</v>
      </c>
      <c r="G1690" s="4">
        <v>0</v>
      </c>
      <c r="H1690" s="4">
        <v>39000000</v>
      </c>
      <c r="I1690" s="3" t="s">
        <v>101</v>
      </c>
      <c r="J1690" s="4">
        <v>4</v>
      </c>
      <c r="K1690" s="3" t="s">
        <v>21</v>
      </c>
      <c r="L1690" s="4">
        <v>8000000</v>
      </c>
      <c r="M1690" s="1">
        <f>O1690*J1690*K1690</f>
        <v>0</v>
      </c>
      <c r="N1690" s="3"/>
      <c r="O1690" s="2">
        <f>L1690/J1690*(1-K1690)</f>
        <v>2000000</v>
      </c>
    </row>
    <row r="1691" ht="14.25">
      <c r="A1691" s="3" t="s">
        <v>818</v>
      </c>
      <c r="B1691" s="3" t="s">
        <v>1275</v>
      </c>
      <c r="C1691" s="3" t="s">
        <v>1281</v>
      </c>
      <c r="D1691" s="3" t="s">
        <v>17</v>
      </c>
      <c r="E1691" s="3" t="s">
        <v>312</v>
      </c>
      <c r="F1691" s="3" t="s">
        <v>19</v>
      </c>
      <c r="G1691" s="4">
        <v>0</v>
      </c>
      <c r="H1691" s="4">
        <v>39000000</v>
      </c>
      <c r="I1691" s="3" t="s">
        <v>102</v>
      </c>
      <c r="J1691" s="4">
        <v>2</v>
      </c>
      <c r="K1691" s="3" t="s">
        <v>21</v>
      </c>
      <c r="L1691" s="4">
        <v>4000000</v>
      </c>
      <c r="M1691" s="1">
        <f>O1691*J1691*K1691</f>
        <v>0</v>
      </c>
      <c r="N1691" s="3"/>
      <c r="O1691" s="2">
        <f>L1691/J1691*(1-K1691)</f>
        <v>2000000</v>
      </c>
    </row>
    <row r="1692" ht="14.25">
      <c r="A1692" s="3" t="s">
        <v>818</v>
      </c>
      <c r="B1692" s="3" t="s">
        <v>1275</v>
      </c>
      <c r="C1692" s="3" t="s">
        <v>1281</v>
      </c>
      <c r="D1692" s="3" t="s">
        <v>17</v>
      </c>
      <c r="E1692" s="3" t="s">
        <v>312</v>
      </c>
      <c r="F1692" s="3" t="s">
        <v>19</v>
      </c>
      <c r="G1692" s="4">
        <v>0</v>
      </c>
      <c r="H1692" s="4">
        <v>39000000</v>
      </c>
      <c r="I1692" s="3" t="s">
        <v>283</v>
      </c>
      <c r="J1692" s="4">
        <v>20</v>
      </c>
      <c r="K1692" s="3" t="s">
        <v>21</v>
      </c>
      <c r="L1692" s="4">
        <v>27000000</v>
      </c>
      <c r="M1692" s="1">
        <f>O1692*J1692*K1692</f>
        <v>0</v>
      </c>
      <c r="N1692" s="3"/>
      <c r="O1692" s="2">
        <f>L1692/J1692*(1-K1692)</f>
        <v>1350000</v>
      </c>
    </row>
    <row r="1693" ht="14.25">
      <c r="A1693" s="3" t="s">
        <v>818</v>
      </c>
      <c r="B1693" s="3" t="s">
        <v>818</v>
      </c>
      <c r="C1693" s="3" t="s">
        <v>1282</v>
      </c>
      <c r="D1693" s="3" t="s">
        <v>17</v>
      </c>
      <c r="E1693" s="3" t="s">
        <v>360</v>
      </c>
      <c r="F1693" s="3" t="s">
        <v>19</v>
      </c>
      <c r="G1693" s="4">
        <v>0</v>
      </c>
      <c r="H1693" s="4">
        <v>16366000</v>
      </c>
      <c r="I1693" s="3" t="s">
        <v>32</v>
      </c>
      <c r="J1693" s="4">
        <v>360</v>
      </c>
      <c r="K1693" s="3" t="s">
        <v>21</v>
      </c>
      <c r="L1693" s="4">
        <v>8100000</v>
      </c>
      <c r="M1693" s="1">
        <f>O1693*J1693*K1693</f>
        <v>0</v>
      </c>
      <c r="N1693" s="3"/>
      <c r="O1693" s="2">
        <f>L1693/J1693*(1-K1693)</f>
        <v>22500</v>
      </c>
    </row>
    <row r="1694" ht="14.25">
      <c r="A1694" s="3" t="s">
        <v>818</v>
      </c>
      <c r="B1694" s="3" t="s">
        <v>818</v>
      </c>
      <c r="C1694" s="3" t="s">
        <v>1282</v>
      </c>
      <c r="D1694" s="3" t="s">
        <v>17</v>
      </c>
      <c r="E1694" s="3" t="s">
        <v>360</v>
      </c>
      <c r="F1694" s="3" t="s">
        <v>19</v>
      </c>
      <c r="G1694" s="4">
        <v>0</v>
      </c>
      <c r="H1694" s="4">
        <v>16366000</v>
      </c>
      <c r="I1694" s="3" t="s">
        <v>108</v>
      </c>
      <c r="J1694" s="4">
        <v>312</v>
      </c>
      <c r="K1694" s="3" t="s">
        <v>21</v>
      </c>
      <c r="L1694" s="4">
        <v>7176000</v>
      </c>
      <c r="M1694" s="1">
        <f>O1694*J1694*K1694</f>
        <v>0</v>
      </c>
      <c r="N1694" s="3"/>
      <c r="O1694" s="2">
        <f>L1694/J1694*(1-K1694)</f>
        <v>23000</v>
      </c>
    </row>
    <row r="1695" ht="14.25">
      <c r="A1695" s="3" t="s">
        <v>818</v>
      </c>
      <c r="B1695" s="3" t="s">
        <v>818</v>
      </c>
      <c r="C1695" s="3" t="s">
        <v>1282</v>
      </c>
      <c r="D1695" s="3" t="s">
        <v>17</v>
      </c>
      <c r="E1695" s="3" t="s">
        <v>360</v>
      </c>
      <c r="F1695" s="3" t="s">
        <v>19</v>
      </c>
      <c r="G1695" s="4">
        <v>0</v>
      </c>
      <c r="H1695" s="4">
        <v>16366000</v>
      </c>
      <c r="I1695" s="3" t="s">
        <v>162</v>
      </c>
      <c r="J1695" s="4">
        <v>120</v>
      </c>
      <c r="K1695" s="3" t="s">
        <v>21</v>
      </c>
      <c r="L1695" s="4">
        <v>960000</v>
      </c>
      <c r="M1695" s="1">
        <f>O1695*J1695*K1695</f>
        <v>0</v>
      </c>
      <c r="N1695" s="3"/>
      <c r="O1695" s="2">
        <f>L1695/J1695*(1-K1695)</f>
        <v>8000</v>
      </c>
    </row>
    <row r="1696" ht="14.25">
      <c r="A1696" s="3" t="s">
        <v>818</v>
      </c>
      <c r="B1696" s="3" t="s">
        <v>818</v>
      </c>
      <c r="C1696" s="3" t="s">
        <v>1282</v>
      </c>
      <c r="D1696" s="3" t="s">
        <v>17</v>
      </c>
      <c r="E1696" s="3" t="s">
        <v>360</v>
      </c>
      <c r="F1696" s="3" t="s">
        <v>19</v>
      </c>
      <c r="G1696" s="4">
        <v>0</v>
      </c>
      <c r="H1696" s="4">
        <v>16366000</v>
      </c>
      <c r="I1696" s="3" t="s">
        <v>201</v>
      </c>
      <c r="J1696" s="4">
        <v>4</v>
      </c>
      <c r="K1696" s="3" t="s">
        <v>21</v>
      </c>
      <c r="L1696" s="4">
        <v>130000</v>
      </c>
      <c r="M1696" s="1">
        <f>O1696*J1696*K1696</f>
        <v>0</v>
      </c>
      <c r="N1696" s="3"/>
      <c r="O1696" s="2">
        <f>L1696/J1696*(1-K1696)</f>
        <v>32500</v>
      </c>
    </row>
    <row r="1697" ht="14.25">
      <c r="A1697" s="3" t="s">
        <v>818</v>
      </c>
      <c r="B1697" s="3" t="s">
        <v>818</v>
      </c>
      <c r="C1697" s="3" t="s">
        <v>1283</v>
      </c>
      <c r="D1697" s="3" t="s">
        <v>17</v>
      </c>
      <c r="E1697" s="3" t="s">
        <v>340</v>
      </c>
      <c r="F1697" s="3" t="s">
        <v>19</v>
      </c>
      <c r="G1697" s="4">
        <v>0</v>
      </c>
      <c r="H1697" s="4">
        <v>2800000</v>
      </c>
      <c r="I1697" s="3" t="s">
        <v>649</v>
      </c>
      <c r="J1697" s="4">
        <v>16</v>
      </c>
      <c r="K1697" s="3" t="s">
        <v>21</v>
      </c>
      <c r="L1697" s="4">
        <v>2800000</v>
      </c>
      <c r="M1697" s="1">
        <f>O1697*J1697*K1697</f>
        <v>0</v>
      </c>
      <c r="N1697" s="3"/>
      <c r="O1697" s="2">
        <f>L1697/J1697*(1-K1697)</f>
        <v>175000</v>
      </c>
    </row>
    <row r="1698" ht="14.25">
      <c r="A1698" s="3" t="s">
        <v>834</v>
      </c>
      <c r="B1698" s="3" t="s">
        <v>1284</v>
      </c>
      <c r="C1698" s="3" t="s">
        <v>1285</v>
      </c>
      <c r="D1698" s="3" t="s">
        <v>17</v>
      </c>
      <c r="E1698" s="3" t="s">
        <v>34</v>
      </c>
      <c r="F1698" s="3" t="s">
        <v>19</v>
      </c>
      <c r="G1698" s="4">
        <v>0</v>
      </c>
      <c r="H1698" s="4">
        <v>15435684</v>
      </c>
      <c r="I1698" s="3" t="s">
        <v>474</v>
      </c>
      <c r="J1698" s="4">
        <v>2</v>
      </c>
      <c r="K1698" s="3" t="s">
        <v>21</v>
      </c>
      <c r="L1698" s="4">
        <v>660000</v>
      </c>
      <c r="M1698" s="1">
        <f>O1698*J1698*K1698</f>
        <v>0</v>
      </c>
      <c r="N1698" s="3"/>
      <c r="O1698" s="2">
        <f>L1698/J1698*(1-K1698)</f>
        <v>330000</v>
      </c>
    </row>
    <row r="1699" ht="14.25">
      <c r="A1699" s="3" t="s">
        <v>834</v>
      </c>
      <c r="B1699" s="3" t="s">
        <v>1284</v>
      </c>
      <c r="C1699" s="3" t="s">
        <v>1285</v>
      </c>
      <c r="D1699" s="3" t="s">
        <v>17</v>
      </c>
      <c r="E1699" s="3" t="s">
        <v>34</v>
      </c>
      <c r="F1699" s="3" t="s">
        <v>19</v>
      </c>
      <c r="G1699" s="4">
        <v>0</v>
      </c>
      <c r="H1699" s="4">
        <v>15435684</v>
      </c>
      <c r="I1699" s="3" t="s">
        <v>1286</v>
      </c>
      <c r="J1699" s="4">
        <v>6</v>
      </c>
      <c r="K1699" s="3" t="s">
        <v>21</v>
      </c>
      <c r="L1699" s="4">
        <v>1479324</v>
      </c>
      <c r="M1699" s="1">
        <f>O1699*J1699*K1699</f>
        <v>0</v>
      </c>
      <c r="N1699" s="3"/>
      <c r="O1699" s="2">
        <f>L1699/J1699*(1-K1699)</f>
        <v>246554</v>
      </c>
    </row>
    <row r="1700" ht="14.25">
      <c r="A1700" s="3" t="s">
        <v>834</v>
      </c>
      <c r="B1700" s="3" t="s">
        <v>1284</v>
      </c>
      <c r="C1700" s="3" t="s">
        <v>1285</v>
      </c>
      <c r="D1700" s="3" t="s">
        <v>17</v>
      </c>
      <c r="E1700" s="3" t="s">
        <v>34</v>
      </c>
      <c r="F1700" s="3" t="s">
        <v>19</v>
      </c>
      <c r="G1700" s="4">
        <v>0</v>
      </c>
      <c r="H1700" s="4">
        <v>15435684</v>
      </c>
      <c r="I1700" s="3" t="s">
        <v>844</v>
      </c>
      <c r="J1700" s="4">
        <v>4</v>
      </c>
      <c r="K1700" s="3" t="s">
        <v>21</v>
      </c>
      <c r="L1700" s="4">
        <v>2600000</v>
      </c>
      <c r="M1700" s="1">
        <f>O1700*J1700*K1700</f>
        <v>0</v>
      </c>
      <c r="N1700" s="3"/>
      <c r="O1700" s="2">
        <f>L1700/J1700*(1-K1700)</f>
        <v>650000</v>
      </c>
    </row>
    <row r="1701" ht="14.25">
      <c r="A1701" s="3" t="s">
        <v>834</v>
      </c>
      <c r="B1701" s="3" t="s">
        <v>1284</v>
      </c>
      <c r="C1701" s="3" t="s">
        <v>1285</v>
      </c>
      <c r="D1701" s="3" t="s">
        <v>17</v>
      </c>
      <c r="E1701" s="3" t="s">
        <v>34</v>
      </c>
      <c r="F1701" s="3" t="s">
        <v>19</v>
      </c>
      <c r="G1701" s="4">
        <v>0</v>
      </c>
      <c r="H1701" s="4">
        <v>15435684</v>
      </c>
      <c r="I1701" s="3" t="s">
        <v>82</v>
      </c>
      <c r="J1701" s="4">
        <v>1</v>
      </c>
      <c r="K1701" s="3" t="s">
        <v>21</v>
      </c>
      <c r="L1701" s="4">
        <v>3650000</v>
      </c>
      <c r="M1701" s="1">
        <f>O1701*J1701*K1701</f>
        <v>0</v>
      </c>
      <c r="N1701" s="3"/>
      <c r="O1701" s="2">
        <f>L1701/J1701*(1-K1701)</f>
        <v>3650000</v>
      </c>
    </row>
    <row r="1702" ht="14.25">
      <c r="A1702" s="3" t="s">
        <v>834</v>
      </c>
      <c r="B1702" s="3" t="s">
        <v>1284</v>
      </c>
      <c r="C1702" s="3" t="s">
        <v>1285</v>
      </c>
      <c r="D1702" s="3" t="s">
        <v>17</v>
      </c>
      <c r="E1702" s="3" t="s">
        <v>34</v>
      </c>
      <c r="F1702" s="3" t="s">
        <v>19</v>
      </c>
      <c r="G1702" s="4">
        <v>0</v>
      </c>
      <c r="H1702" s="4">
        <v>15435684</v>
      </c>
      <c r="I1702" s="3" t="s">
        <v>35</v>
      </c>
      <c r="J1702" s="4">
        <v>1</v>
      </c>
      <c r="K1702" s="3" t="s">
        <v>21</v>
      </c>
      <c r="L1702" s="4">
        <v>3650000</v>
      </c>
      <c r="M1702" s="1">
        <f>O1702*J1702*K1702</f>
        <v>0</v>
      </c>
      <c r="N1702" s="3"/>
      <c r="O1702" s="2">
        <f>L1702/J1702*(1-K1702)</f>
        <v>3650000</v>
      </c>
    </row>
    <row r="1703" ht="14.25">
      <c r="A1703" s="3" t="s">
        <v>834</v>
      </c>
      <c r="B1703" s="3" t="s">
        <v>1284</v>
      </c>
      <c r="C1703" s="3" t="s">
        <v>1285</v>
      </c>
      <c r="D1703" s="3" t="s">
        <v>17</v>
      </c>
      <c r="E1703" s="3" t="s">
        <v>34</v>
      </c>
      <c r="F1703" s="3" t="s">
        <v>19</v>
      </c>
      <c r="G1703" s="4">
        <v>0</v>
      </c>
      <c r="H1703" s="4">
        <v>15435684</v>
      </c>
      <c r="I1703" s="3" t="s">
        <v>127</v>
      </c>
      <c r="J1703" s="4">
        <v>6</v>
      </c>
      <c r="K1703" s="3" t="s">
        <v>275</v>
      </c>
      <c r="L1703" s="4">
        <v>1083000</v>
      </c>
      <c r="M1703" s="1">
        <f>O1703*J1703*K1703</f>
        <v>79708.800000000003</v>
      </c>
      <c r="N1703" s="3"/>
      <c r="O1703" s="2">
        <f>L1703/J1703*(1-K1703)</f>
        <v>166060</v>
      </c>
    </row>
    <row r="1704" ht="14.25">
      <c r="A1704" s="3" t="s">
        <v>834</v>
      </c>
      <c r="B1704" s="3" t="s">
        <v>1284</v>
      </c>
      <c r="C1704" s="3" t="s">
        <v>1285</v>
      </c>
      <c r="D1704" s="3" t="s">
        <v>17</v>
      </c>
      <c r="E1704" s="3" t="s">
        <v>34</v>
      </c>
      <c r="F1704" s="3" t="s">
        <v>19</v>
      </c>
      <c r="G1704" s="4">
        <v>0</v>
      </c>
      <c r="H1704" s="4">
        <v>15435684</v>
      </c>
      <c r="I1704" s="3" t="s">
        <v>29</v>
      </c>
      <c r="J1704" s="4">
        <v>5</v>
      </c>
      <c r="K1704" s="3" t="s">
        <v>21</v>
      </c>
      <c r="L1704" s="4">
        <v>2400000</v>
      </c>
      <c r="M1704" s="1">
        <f>O1704*J1704*K1704</f>
        <v>0</v>
      </c>
      <c r="N1704" s="3"/>
      <c r="O1704" s="2">
        <f>L1704/J1704*(1-K1704)</f>
        <v>480000</v>
      </c>
    </row>
    <row r="1705" ht="14.25">
      <c r="A1705" s="3" t="s">
        <v>834</v>
      </c>
      <c r="B1705" s="3" t="s">
        <v>1284</v>
      </c>
      <c r="C1705" s="3" t="s">
        <v>1287</v>
      </c>
      <c r="D1705" s="3" t="s">
        <v>17</v>
      </c>
      <c r="E1705" s="3" t="s">
        <v>1288</v>
      </c>
      <c r="F1705" s="3" t="s">
        <v>19</v>
      </c>
      <c r="G1705" s="4">
        <v>0</v>
      </c>
      <c r="H1705" s="4">
        <v>11292000</v>
      </c>
      <c r="I1705" s="3" t="s">
        <v>66</v>
      </c>
      <c r="J1705" s="4">
        <v>4</v>
      </c>
      <c r="K1705" s="3" t="s">
        <v>21</v>
      </c>
      <c r="L1705" s="4">
        <v>1712000</v>
      </c>
      <c r="M1705" s="1">
        <f>O1705*J1705*K1705</f>
        <v>0</v>
      </c>
      <c r="N1705" s="3"/>
      <c r="O1705" s="2">
        <f>L1705/J1705*(1-K1705)</f>
        <v>428000</v>
      </c>
    </row>
    <row r="1706" ht="14.25">
      <c r="A1706" s="3" t="s">
        <v>834</v>
      </c>
      <c r="B1706" s="3" t="s">
        <v>1284</v>
      </c>
      <c r="C1706" s="3" t="s">
        <v>1287</v>
      </c>
      <c r="D1706" s="3" t="s">
        <v>17</v>
      </c>
      <c r="E1706" s="3" t="s">
        <v>1288</v>
      </c>
      <c r="F1706" s="3" t="s">
        <v>19</v>
      </c>
      <c r="G1706" s="4">
        <v>0</v>
      </c>
      <c r="H1706" s="4">
        <v>11292000</v>
      </c>
      <c r="I1706" s="3" t="s">
        <v>127</v>
      </c>
      <c r="J1706" s="4">
        <v>12</v>
      </c>
      <c r="K1706" s="3" t="s">
        <v>21</v>
      </c>
      <c r="L1706" s="4">
        <v>2100000</v>
      </c>
      <c r="M1706" s="1">
        <f>O1706*J1706*K1706</f>
        <v>0</v>
      </c>
      <c r="N1706" s="3"/>
      <c r="O1706" s="2">
        <f>L1706/J1706*(1-K1706)</f>
        <v>175000</v>
      </c>
    </row>
    <row r="1707" ht="14.25">
      <c r="A1707" s="3" t="s">
        <v>834</v>
      </c>
      <c r="B1707" s="3" t="s">
        <v>1284</v>
      </c>
      <c r="C1707" s="3" t="s">
        <v>1287</v>
      </c>
      <c r="D1707" s="3" t="s">
        <v>17</v>
      </c>
      <c r="E1707" s="3" t="s">
        <v>1288</v>
      </c>
      <c r="F1707" s="3" t="s">
        <v>19</v>
      </c>
      <c r="G1707" s="4">
        <v>0</v>
      </c>
      <c r="H1707" s="4">
        <v>11292000</v>
      </c>
      <c r="I1707" s="3" t="s">
        <v>452</v>
      </c>
      <c r="J1707" s="4">
        <v>6</v>
      </c>
      <c r="K1707" s="3" t="s">
        <v>21</v>
      </c>
      <c r="L1707" s="4">
        <v>1170000</v>
      </c>
      <c r="M1707" s="1">
        <f>O1707*J1707*K1707</f>
        <v>0</v>
      </c>
      <c r="N1707" s="3"/>
      <c r="O1707" s="2">
        <f>L1707/J1707*(1-K1707)</f>
        <v>195000</v>
      </c>
    </row>
    <row r="1708" ht="14.25">
      <c r="A1708" s="3" t="s">
        <v>834</v>
      </c>
      <c r="B1708" s="3" t="s">
        <v>1284</v>
      </c>
      <c r="C1708" s="3" t="s">
        <v>1287</v>
      </c>
      <c r="D1708" s="3" t="s">
        <v>17</v>
      </c>
      <c r="E1708" s="3" t="s">
        <v>1288</v>
      </c>
      <c r="F1708" s="3" t="s">
        <v>19</v>
      </c>
      <c r="G1708" s="4">
        <v>0</v>
      </c>
      <c r="H1708" s="4">
        <v>11292000</v>
      </c>
      <c r="I1708" s="3" t="s">
        <v>185</v>
      </c>
      <c r="J1708" s="4">
        <v>6</v>
      </c>
      <c r="K1708" s="3" t="s">
        <v>21</v>
      </c>
      <c r="L1708" s="4">
        <v>1110000</v>
      </c>
      <c r="M1708" s="1">
        <f>O1708*J1708*K1708</f>
        <v>0</v>
      </c>
      <c r="N1708" s="3"/>
      <c r="O1708" s="2">
        <f>L1708/J1708*(1-K1708)</f>
        <v>185000</v>
      </c>
    </row>
    <row r="1709" ht="14.25">
      <c r="A1709" s="3" t="s">
        <v>834</v>
      </c>
      <c r="B1709" s="3" t="s">
        <v>1284</v>
      </c>
      <c r="C1709" s="3" t="s">
        <v>1287</v>
      </c>
      <c r="D1709" s="3" t="s">
        <v>17</v>
      </c>
      <c r="E1709" s="3" t="s">
        <v>1288</v>
      </c>
      <c r="F1709" s="3" t="s">
        <v>19</v>
      </c>
      <c r="G1709" s="4">
        <v>0</v>
      </c>
      <c r="H1709" s="4">
        <v>11292000</v>
      </c>
      <c r="I1709" s="3" t="s">
        <v>474</v>
      </c>
      <c r="J1709" s="4">
        <v>6</v>
      </c>
      <c r="K1709" s="3" t="s">
        <v>21</v>
      </c>
      <c r="L1709" s="4">
        <v>2220000</v>
      </c>
      <c r="M1709" s="1">
        <f>O1709*J1709*K1709</f>
        <v>0</v>
      </c>
      <c r="N1709" s="3"/>
      <c r="O1709" s="2">
        <f>L1709/J1709*(1-K1709)</f>
        <v>370000</v>
      </c>
    </row>
    <row r="1710" ht="14.25">
      <c r="A1710" s="3" t="s">
        <v>834</v>
      </c>
      <c r="B1710" s="3" t="s">
        <v>1284</v>
      </c>
      <c r="C1710" s="3" t="s">
        <v>1287</v>
      </c>
      <c r="D1710" s="3" t="s">
        <v>17</v>
      </c>
      <c r="E1710" s="3" t="s">
        <v>1288</v>
      </c>
      <c r="F1710" s="3" t="s">
        <v>19</v>
      </c>
      <c r="G1710" s="4">
        <v>0</v>
      </c>
      <c r="H1710" s="4">
        <v>11292000</v>
      </c>
      <c r="I1710" s="3" t="s">
        <v>56</v>
      </c>
      <c r="J1710" s="4">
        <v>8</v>
      </c>
      <c r="K1710" s="3" t="s">
        <v>21</v>
      </c>
      <c r="L1710" s="4">
        <v>1320000</v>
      </c>
      <c r="M1710" s="1">
        <f>O1710*J1710*K1710</f>
        <v>0</v>
      </c>
      <c r="N1710" s="3"/>
      <c r="O1710" s="2">
        <f>L1710/J1710*(1-K1710)</f>
        <v>165000</v>
      </c>
    </row>
    <row r="1711" ht="14.25">
      <c r="A1711" s="3" t="s">
        <v>834</v>
      </c>
      <c r="B1711" s="3" t="s">
        <v>1284</v>
      </c>
      <c r="C1711" s="3" t="s">
        <v>1287</v>
      </c>
      <c r="D1711" s="3" t="s">
        <v>17</v>
      </c>
      <c r="E1711" s="3" t="s">
        <v>1288</v>
      </c>
      <c r="F1711" s="3" t="s">
        <v>19</v>
      </c>
      <c r="G1711" s="4">
        <v>0</v>
      </c>
      <c r="H1711" s="4">
        <v>11292000</v>
      </c>
      <c r="I1711" s="3" t="s">
        <v>399</v>
      </c>
      <c r="J1711" s="4">
        <v>2</v>
      </c>
      <c r="K1711" s="3" t="s">
        <v>21</v>
      </c>
      <c r="L1711" s="4">
        <v>660000</v>
      </c>
      <c r="M1711" s="1">
        <f>O1711*J1711*K1711</f>
        <v>0</v>
      </c>
      <c r="N1711" s="3"/>
      <c r="O1711" s="2">
        <f>L1711/J1711*(1-K1711)</f>
        <v>330000</v>
      </c>
    </row>
    <row r="1712" ht="14.25">
      <c r="A1712" s="3" t="s">
        <v>834</v>
      </c>
      <c r="B1712" s="3" t="s">
        <v>1284</v>
      </c>
      <c r="C1712" s="3" t="s">
        <v>1287</v>
      </c>
      <c r="D1712" s="3" t="s">
        <v>17</v>
      </c>
      <c r="E1712" s="3" t="s">
        <v>1288</v>
      </c>
      <c r="F1712" s="3" t="s">
        <v>19</v>
      </c>
      <c r="G1712" s="4">
        <v>0</v>
      </c>
      <c r="H1712" s="4">
        <v>11292000</v>
      </c>
      <c r="I1712" s="3" t="s">
        <v>29</v>
      </c>
      <c r="J1712" s="4">
        <v>2</v>
      </c>
      <c r="K1712" s="3" t="s">
        <v>21</v>
      </c>
      <c r="L1712" s="4">
        <v>1000000</v>
      </c>
      <c r="M1712" s="1">
        <f>O1712*J1712*K1712</f>
        <v>0</v>
      </c>
      <c r="N1712" s="3"/>
      <c r="O1712" s="2">
        <f>L1712/J1712*(1-K1712)</f>
        <v>500000</v>
      </c>
    </row>
    <row r="1713" ht="14.25">
      <c r="A1713" s="3" t="s">
        <v>834</v>
      </c>
      <c r="B1713" s="3" t="s">
        <v>1284</v>
      </c>
      <c r="C1713" s="3" t="s">
        <v>1289</v>
      </c>
      <c r="D1713" s="3" t="s">
        <v>17</v>
      </c>
      <c r="E1713" s="3" t="s">
        <v>1290</v>
      </c>
      <c r="F1713" s="3" t="s">
        <v>19</v>
      </c>
      <c r="G1713" s="4">
        <v>0</v>
      </c>
      <c r="H1713" s="4">
        <v>5773000</v>
      </c>
      <c r="I1713" s="3" t="s">
        <v>1291</v>
      </c>
      <c r="J1713" s="4">
        <v>4</v>
      </c>
      <c r="K1713" s="3" t="s">
        <v>21</v>
      </c>
      <c r="L1713" s="4">
        <v>1348000</v>
      </c>
      <c r="M1713" s="1">
        <f>O1713*J1713*K1713</f>
        <v>0</v>
      </c>
      <c r="N1713" s="3"/>
      <c r="O1713" s="2">
        <f>L1713/J1713*(1-K1713)</f>
        <v>337000</v>
      </c>
    </row>
    <row r="1714" ht="14.25">
      <c r="A1714" s="3" t="s">
        <v>834</v>
      </c>
      <c r="B1714" s="3" t="s">
        <v>1284</v>
      </c>
      <c r="C1714" s="3" t="s">
        <v>1289</v>
      </c>
      <c r="D1714" s="3" t="s">
        <v>17</v>
      </c>
      <c r="E1714" s="3" t="s">
        <v>1290</v>
      </c>
      <c r="F1714" s="3" t="s">
        <v>19</v>
      </c>
      <c r="G1714" s="4">
        <v>0</v>
      </c>
      <c r="H1714" s="4">
        <v>5773000</v>
      </c>
      <c r="I1714" s="3" t="s">
        <v>187</v>
      </c>
      <c r="J1714" s="4">
        <v>20</v>
      </c>
      <c r="K1714" s="3" t="s">
        <v>21</v>
      </c>
      <c r="L1714" s="4">
        <v>760000</v>
      </c>
      <c r="M1714" s="1">
        <f>O1714*J1714*K1714</f>
        <v>0</v>
      </c>
      <c r="N1714" s="3"/>
      <c r="O1714" s="2">
        <f>L1714/J1714*(1-K1714)</f>
        <v>38000</v>
      </c>
    </row>
    <row r="1715" ht="14.25">
      <c r="A1715" s="3" t="s">
        <v>834</v>
      </c>
      <c r="B1715" s="3" t="s">
        <v>1284</v>
      </c>
      <c r="C1715" s="3" t="s">
        <v>1289</v>
      </c>
      <c r="D1715" s="3" t="s">
        <v>17</v>
      </c>
      <c r="E1715" s="3" t="s">
        <v>1290</v>
      </c>
      <c r="F1715" s="3" t="s">
        <v>19</v>
      </c>
      <c r="G1715" s="4">
        <v>0</v>
      </c>
      <c r="H1715" s="4">
        <v>5773000</v>
      </c>
      <c r="I1715" s="3" t="s">
        <v>1286</v>
      </c>
      <c r="J1715" s="4">
        <v>3</v>
      </c>
      <c r="K1715" s="3" t="s">
        <v>21</v>
      </c>
      <c r="L1715" s="4">
        <v>765000</v>
      </c>
      <c r="M1715" s="1">
        <f>O1715*J1715*K1715</f>
        <v>0</v>
      </c>
      <c r="N1715" s="3"/>
      <c r="O1715" s="2">
        <f>L1715/J1715*(1-K1715)</f>
        <v>255000</v>
      </c>
    </row>
    <row r="1716" ht="14.25">
      <c r="A1716" s="3" t="s">
        <v>834</v>
      </c>
      <c r="B1716" s="3" t="s">
        <v>1284</v>
      </c>
      <c r="C1716" s="3" t="s">
        <v>1289</v>
      </c>
      <c r="D1716" s="3" t="s">
        <v>17</v>
      </c>
      <c r="E1716" s="3" t="s">
        <v>1290</v>
      </c>
      <c r="F1716" s="3" t="s">
        <v>19</v>
      </c>
      <c r="G1716" s="4">
        <v>0</v>
      </c>
      <c r="H1716" s="4">
        <v>5773000</v>
      </c>
      <c r="I1716" s="3" t="s">
        <v>592</v>
      </c>
      <c r="J1716" s="4">
        <v>20</v>
      </c>
      <c r="K1716" s="3" t="s">
        <v>21</v>
      </c>
      <c r="L1716" s="4">
        <v>720000</v>
      </c>
      <c r="M1716" s="1">
        <f>O1716*J1716*K1716</f>
        <v>0</v>
      </c>
      <c r="N1716" s="3"/>
      <c r="O1716" s="2">
        <f>L1716/J1716*(1-K1716)</f>
        <v>36000</v>
      </c>
    </row>
    <row r="1717" ht="14.25">
      <c r="A1717" s="3" t="s">
        <v>834</v>
      </c>
      <c r="B1717" s="3" t="s">
        <v>1284</v>
      </c>
      <c r="C1717" s="3" t="s">
        <v>1289</v>
      </c>
      <c r="D1717" s="3" t="s">
        <v>17</v>
      </c>
      <c r="E1717" s="3" t="s">
        <v>1290</v>
      </c>
      <c r="F1717" s="3" t="s">
        <v>19</v>
      </c>
      <c r="G1717" s="4">
        <v>0</v>
      </c>
      <c r="H1717" s="4">
        <v>5773000</v>
      </c>
      <c r="I1717" s="3" t="s">
        <v>381</v>
      </c>
      <c r="J1717" s="4">
        <v>20</v>
      </c>
      <c r="K1717" s="3" t="s">
        <v>21</v>
      </c>
      <c r="L1717" s="4">
        <v>680000</v>
      </c>
      <c r="M1717" s="1">
        <f>O1717*J1717*K1717</f>
        <v>0</v>
      </c>
      <c r="N1717" s="3"/>
      <c r="O1717" s="2">
        <f>L1717/J1717*(1-K1717)</f>
        <v>34000</v>
      </c>
    </row>
    <row r="1718" ht="14.25">
      <c r="A1718" s="3" t="s">
        <v>834</v>
      </c>
      <c r="B1718" s="3" t="s">
        <v>1284</v>
      </c>
      <c r="C1718" s="3" t="s">
        <v>1289</v>
      </c>
      <c r="D1718" s="3" t="s">
        <v>17</v>
      </c>
      <c r="E1718" s="3" t="s">
        <v>1290</v>
      </c>
      <c r="F1718" s="3" t="s">
        <v>19</v>
      </c>
      <c r="G1718" s="4">
        <v>0</v>
      </c>
      <c r="H1718" s="4">
        <v>5773000</v>
      </c>
      <c r="I1718" s="3" t="s">
        <v>29</v>
      </c>
      <c r="J1718" s="4">
        <v>3</v>
      </c>
      <c r="K1718" s="3" t="s">
        <v>21</v>
      </c>
      <c r="L1718" s="4">
        <v>1500000</v>
      </c>
      <c r="M1718" s="1">
        <f>O1718*J1718*K1718</f>
        <v>0</v>
      </c>
      <c r="N1718" s="3"/>
      <c r="O1718" s="2">
        <f>L1718/J1718*(1-K1718)</f>
        <v>500000</v>
      </c>
    </row>
    <row r="1719" ht="14.25">
      <c r="A1719" s="3" t="s">
        <v>1292</v>
      </c>
      <c r="B1719" s="3" t="s">
        <v>1292</v>
      </c>
      <c r="C1719" s="3" t="s">
        <v>1293</v>
      </c>
      <c r="D1719" s="3" t="s">
        <v>17</v>
      </c>
      <c r="E1719" s="3" t="s">
        <v>1290</v>
      </c>
      <c r="F1719" s="3" t="s">
        <v>19</v>
      </c>
      <c r="G1719" s="4">
        <v>0</v>
      </c>
      <c r="H1719" s="4">
        <v>2420000</v>
      </c>
      <c r="I1719" s="3" t="s">
        <v>122</v>
      </c>
      <c r="J1719" s="4">
        <v>4</v>
      </c>
      <c r="K1719" s="3" t="s">
        <v>21</v>
      </c>
      <c r="L1719" s="4">
        <v>800000</v>
      </c>
      <c r="M1719" s="1">
        <f>O1719*J1719*K1719</f>
        <v>0</v>
      </c>
      <c r="N1719" s="3"/>
      <c r="O1719" s="2">
        <f>L1719/J1719*(1-K1719)</f>
        <v>200000</v>
      </c>
    </row>
    <row r="1720" ht="14.25">
      <c r="A1720" s="3" t="s">
        <v>1292</v>
      </c>
      <c r="B1720" s="3" t="s">
        <v>1292</v>
      </c>
      <c r="C1720" s="3" t="s">
        <v>1293</v>
      </c>
      <c r="D1720" s="3" t="s">
        <v>17</v>
      </c>
      <c r="E1720" s="3" t="s">
        <v>1290</v>
      </c>
      <c r="F1720" s="3" t="s">
        <v>19</v>
      </c>
      <c r="G1720" s="4">
        <v>0</v>
      </c>
      <c r="H1720" s="4">
        <v>2420000</v>
      </c>
      <c r="I1720" s="3" t="s">
        <v>504</v>
      </c>
      <c r="J1720" s="4">
        <v>6</v>
      </c>
      <c r="K1720" s="3" t="s">
        <v>21</v>
      </c>
      <c r="L1720" s="4">
        <v>960000</v>
      </c>
      <c r="M1720" s="1">
        <f>O1720*J1720*K1720</f>
        <v>0</v>
      </c>
      <c r="N1720" s="3"/>
      <c r="O1720" s="2">
        <f>L1720/J1720*(1-K1720)</f>
        <v>160000</v>
      </c>
    </row>
    <row r="1721" ht="14.25">
      <c r="A1721" s="3" t="s">
        <v>1292</v>
      </c>
      <c r="B1721" s="3" t="s">
        <v>1292</v>
      </c>
      <c r="C1721" s="3" t="s">
        <v>1293</v>
      </c>
      <c r="D1721" s="3" t="s">
        <v>17</v>
      </c>
      <c r="E1721" s="3" t="s">
        <v>1290</v>
      </c>
      <c r="F1721" s="3" t="s">
        <v>19</v>
      </c>
      <c r="G1721" s="4">
        <v>0</v>
      </c>
      <c r="H1721" s="4">
        <v>2420000</v>
      </c>
      <c r="I1721" s="3" t="s">
        <v>56</v>
      </c>
      <c r="J1721" s="4">
        <v>4</v>
      </c>
      <c r="K1721" s="3" t="s">
        <v>21</v>
      </c>
      <c r="L1721" s="4">
        <v>660000</v>
      </c>
      <c r="M1721" s="1">
        <f>O1721*J1721*K1721</f>
        <v>0</v>
      </c>
      <c r="N1721" s="3"/>
      <c r="O1721" s="2">
        <f>L1721/J1721*(1-K1721)</f>
        <v>165000</v>
      </c>
    </row>
    <row r="1722" ht="14.25">
      <c r="A1722" s="3" t="s">
        <v>1292</v>
      </c>
      <c r="B1722" s="3" t="s">
        <v>1292</v>
      </c>
      <c r="C1722" s="3" t="s">
        <v>1294</v>
      </c>
      <c r="D1722" s="3" t="s">
        <v>17</v>
      </c>
      <c r="E1722" s="3" t="s">
        <v>1295</v>
      </c>
      <c r="F1722" s="3" t="s">
        <v>19</v>
      </c>
      <c r="G1722" s="4">
        <v>0</v>
      </c>
      <c r="H1722" s="4">
        <v>1032000</v>
      </c>
      <c r="I1722" s="3" t="s">
        <v>454</v>
      </c>
      <c r="J1722" s="4">
        <v>12</v>
      </c>
      <c r="K1722" s="3" t="s">
        <v>21</v>
      </c>
      <c r="L1722" s="4">
        <v>492000</v>
      </c>
      <c r="M1722" s="1">
        <f>O1722*J1722*K1722</f>
        <v>0</v>
      </c>
      <c r="N1722" s="3"/>
      <c r="O1722" s="2">
        <f>L1722/J1722*(1-K1722)</f>
        <v>41000</v>
      </c>
    </row>
    <row r="1723" ht="14.25">
      <c r="A1723" s="3" t="s">
        <v>1292</v>
      </c>
      <c r="B1723" s="3" t="s">
        <v>1292</v>
      </c>
      <c r="C1723" s="3" t="s">
        <v>1294</v>
      </c>
      <c r="D1723" s="3" t="s">
        <v>17</v>
      </c>
      <c r="E1723" s="3" t="s">
        <v>1295</v>
      </c>
      <c r="F1723" s="3" t="s">
        <v>19</v>
      </c>
      <c r="G1723" s="4">
        <v>0</v>
      </c>
      <c r="H1723" s="4">
        <v>1032000</v>
      </c>
      <c r="I1723" s="3" t="s">
        <v>327</v>
      </c>
      <c r="J1723" s="4">
        <v>12</v>
      </c>
      <c r="K1723" s="3" t="s">
        <v>21</v>
      </c>
      <c r="L1723" s="4">
        <v>540000</v>
      </c>
      <c r="M1723" s="1">
        <f>O1723*J1723*K1723</f>
        <v>0</v>
      </c>
      <c r="N1723" s="3"/>
      <c r="O1723" s="2">
        <f>L1723/J1723*(1-K1723)</f>
        <v>45000</v>
      </c>
    </row>
    <row r="1724" ht="14.25">
      <c r="A1724" s="3" t="s">
        <v>834</v>
      </c>
      <c r="B1724" s="3" t="s">
        <v>1284</v>
      </c>
      <c r="C1724" s="3" t="s">
        <v>1296</v>
      </c>
      <c r="D1724" s="3" t="s">
        <v>17</v>
      </c>
      <c r="E1724" s="3" t="s">
        <v>1297</v>
      </c>
      <c r="F1724" s="3" t="s">
        <v>19</v>
      </c>
      <c r="G1724" s="4">
        <v>0</v>
      </c>
      <c r="H1724" s="4">
        <v>1746000</v>
      </c>
      <c r="I1724" s="3" t="s">
        <v>454</v>
      </c>
      <c r="J1724" s="4">
        <v>12</v>
      </c>
      <c r="K1724" s="3" t="s">
        <v>21</v>
      </c>
      <c r="L1724" s="4">
        <v>510000</v>
      </c>
      <c r="M1724" s="1">
        <f>O1724*J1724*K1724</f>
        <v>0</v>
      </c>
      <c r="N1724" s="3"/>
      <c r="O1724" s="2">
        <f>L1724/J1724*(1-K1724)</f>
        <v>42500</v>
      </c>
    </row>
    <row r="1725" ht="14.25">
      <c r="A1725" s="3" t="s">
        <v>834</v>
      </c>
      <c r="B1725" s="3" t="s">
        <v>1284</v>
      </c>
      <c r="C1725" s="3" t="s">
        <v>1296</v>
      </c>
      <c r="D1725" s="3" t="s">
        <v>17</v>
      </c>
      <c r="E1725" s="3" t="s">
        <v>1297</v>
      </c>
      <c r="F1725" s="3" t="s">
        <v>19</v>
      </c>
      <c r="G1725" s="4">
        <v>0</v>
      </c>
      <c r="H1725" s="4">
        <v>1746000</v>
      </c>
      <c r="I1725" s="3" t="s">
        <v>108</v>
      </c>
      <c r="J1725" s="4">
        <v>24</v>
      </c>
      <c r="K1725" s="3" t="s">
        <v>21</v>
      </c>
      <c r="L1725" s="4">
        <v>624000</v>
      </c>
      <c r="M1725" s="1">
        <f>O1725*J1725*K1725</f>
        <v>0</v>
      </c>
      <c r="N1725" s="3"/>
      <c r="O1725" s="2">
        <f>L1725/J1725*(1-K1725)</f>
        <v>26000</v>
      </c>
    </row>
    <row r="1726" ht="14.25">
      <c r="A1726" s="3" t="s">
        <v>834</v>
      </c>
      <c r="B1726" s="3" t="s">
        <v>1284</v>
      </c>
      <c r="C1726" s="3" t="s">
        <v>1296</v>
      </c>
      <c r="D1726" s="3" t="s">
        <v>17</v>
      </c>
      <c r="E1726" s="3" t="s">
        <v>1297</v>
      </c>
      <c r="F1726" s="3" t="s">
        <v>19</v>
      </c>
      <c r="G1726" s="4">
        <v>0</v>
      </c>
      <c r="H1726" s="4">
        <v>1746000</v>
      </c>
      <c r="I1726" s="3" t="s">
        <v>32</v>
      </c>
      <c r="J1726" s="4">
        <v>24</v>
      </c>
      <c r="K1726" s="3" t="s">
        <v>21</v>
      </c>
      <c r="L1726" s="4">
        <v>612000</v>
      </c>
      <c r="M1726" s="1">
        <f>O1726*J1726*K1726</f>
        <v>0</v>
      </c>
      <c r="N1726" s="3"/>
      <c r="O1726" s="2">
        <f>L1726/J1726*(1-K1726)</f>
        <v>25500</v>
      </c>
    </row>
    <row r="1727" ht="14.25">
      <c r="A1727" s="3" t="s">
        <v>834</v>
      </c>
      <c r="B1727" s="3" t="s">
        <v>1292</v>
      </c>
      <c r="C1727" s="3" t="s">
        <v>1298</v>
      </c>
      <c r="D1727" s="3" t="s">
        <v>17</v>
      </c>
      <c r="E1727" s="3" t="s">
        <v>53</v>
      </c>
      <c r="F1727" s="3" t="s">
        <v>19</v>
      </c>
      <c r="G1727" s="4">
        <v>0</v>
      </c>
      <c r="H1727" s="4">
        <v>10935060</v>
      </c>
      <c r="I1727" s="3" t="s">
        <v>101</v>
      </c>
      <c r="J1727" s="4">
        <v>4</v>
      </c>
      <c r="K1727" s="3" t="s">
        <v>21</v>
      </c>
      <c r="L1727" s="4">
        <v>8060000</v>
      </c>
      <c r="M1727" s="1">
        <f>O1727*J1727*K1727</f>
        <v>0</v>
      </c>
      <c r="N1727" s="3"/>
      <c r="O1727" s="2">
        <f>L1727/J1727*(1-K1727)</f>
        <v>2015000</v>
      </c>
    </row>
    <row r="1728" ht="14.25">
      <c r="A1728" s="3" t="s">
        <v>834</v>
      </c>
      <c r="B1728" s="3" t="s">
        <v>1292</v>
      </c>
      <c r="C1728" s="3" t="s">
        <v>1298</v>
      </c>
      <c r="D1728" s="3" t="s">
        <v>17</v>
      </c>
      <c r="E1728" s="3" t="s">
        <v>53</v>
      </c>
      <c r="F1728" s="3" t="s">
        <v>19</v>
      </c>
      <c r="G1728" s="4">
        <v>0</v>
      </c>
      <c r="H1728" s="4">
        <v>10935060</v>
      </c>
      <c r="I1728" s="3" t="s">
        <v>615</v>
      </c>
      <c r="J1728" s="4">
        <v>2</v>
      </c>
      <c r="K1728" s="3" t="s">
        <v>21</v>
      </c>
      <c r="L1728" s="4">
        <v>2357500</v>
      </c>
      <c r="M1728" s="1">
        <f>O1728*J1728*K1728</f>
        <v>0</v>
      </c>
      <c r="N1728" s="3"/>
      <c r="O1728" s="2">
        <f>L1728/J1728*(1-K1728)</f>
        <v>1178750</v>
      </c>
    </row>
    <row r="1729" ht="14.25">
      <c r="A1729" s="3" t="s">
        <v>834</v>
      </c>
      <c r="B1729" s="3" t="s">
        <v>1292</v>
      </c>
      <c r="C1729" s="3" t="s">
        <v>1298</v>
      </c>
      <c r="D1729" s="3" t="s">
        <v>17</v>
      </c>
      <c r="E1729" s="3" t="s">
        <v>53</v>
      </c>
      <c r="F1729" s="3" t="s">
        <v>19</v>
      </c>
      <c r="G1729" s="4">
        <v>0</v>
      </c>
      <c r="H1729" s="4">
        <v>10935060</v>
      </c>
      <c r="I1729" s="3" t="s">
        <v>210</v>
      </c>
      <c r="J1729" s="4">
        <v>12</v>
      </c>
      <c r="K1729" s="3" t="s">
        <v>934</v>
      </c>
      <c r="L1729" s="4">
        <v>544800</v>
      </c>
      <c r="M1729" s="1">
        <f>O1729*J1729*K1729</f>
        <v>25878</v>
      </c>
      <c r="N1729" s="3"/>
      <c r="O1729" s="2">
        <f>L1729/J1729*(1-K1729)</f>
        <v>43130</v>
      </c>
    </row>
    <row r="1730" ht="14.25">
      <c r="A1730" s="3" t="s">
        <v>834</v>
      </c>
      <c r="B1730" s="3" t="s">
        <v>1284</v>
      </c>
      <c r="C1730" s="3" t="s">
        <v>1299</v>
      </c>
      <c r="D1730" s="3" t="s">
        <v>17</v>
      </c>
      <c r="E1730" s="3" t="s">
        <v>786</v>
      </c>
      <c r="F1730" s="3" t="s">
        <v>19</v>
      </c>
      <c r="G1730" s="4">
        <v>0</v>
      </c>
      <c r="H1730" s="4">
        <v>2697618</v>
      </c>
      <c r="I1730" s="3" t="s">
        <v>356</v>
      </c>
      <c r="J1730" s="4">
        <v>8</v>
      </c>
      <c r="K1730" s="3" t="s">
        <v>21</v>
      </c>
      <c r="L1730" s="4">
        <v>1936200</v>
      </c>
      <c r="M1730" s="1">
        <f>O1730*J1730*K1730</f>
        <v>0</v>
      </c>
      <c r="N1730" s="3"/>
      <c r="O1730" s="2">
        <f>L1730/J1730*(1-K1730)</f>
        <v>242025</v>
      </c>
    </row>
    <row r="1731" ht="14.25">
      <c r="A1731" s="3" t="s">
        <v>834</v>
      </c>
      <c r="B1731" s="3" t="s">
        <v>1284</v>
      </c>
      <c r="C1731" s="3" t="s">
        <v>1299</v>
      </c>
      <c r="D1731" s="3" t="s">
        <v>17</v>
      </c>
      <c r="E1731" s="3" t="s">
        <v>786</v>
      </c>
      <c r="F1731" s="3" t="s">
        <v>19</v>
      </c>
      <c r="G1731" s="4">
        <v>0</v>
      </c>
      <c r="H1731" s="4">
        <v>2697618</v>
      </c>
      <c r="I1731" s="3" t="s">
        <v>1286</v>
      </c>
      <c r="J1731" s="4">
        <v>3</v>
      </c>
      <c r="K1731" s="3" t="s">
        <v>21</v>
      </c>
      <c r="L1731" s="4">
        <v>761418</v>
      </c>
      <c r="M1731" s="1">
        <f>O1731*J1731*K1731</f>
        <v>0</v>
      </c>
      <c r="N1731" s="3"/>
      <c r="O1731" s="2">
        <f>L1731/J1731*(1-K1731)</f>
        <v>253806</v>
      </c>
    </row>
    <row r="1732" ht="14.25">
      <c r="A1732" s="3" t="s">
        <v>834</v>
      </c>
      <c r="B1732" s="3" t="s">
        <v>1284</v>
      </c>
      <c r="C1732" s="3" t="s">
        <v>1300</v>
      </c>
      <c r="D1732" s="3" t="s">
        <v>17</v>
      </c>
      <c r="E1732" s="3" t="s">
        <v>610</v>
      </c>
      <c r="F1732" s="3" t="s">
        <v>19</v>
      </c>
      <c r="G1732" s="4">
        <v>0</v>
      </c>
      <c r="H1732" s="4">
        <v>17230200</v>
      </c>
      <c r="I1732" s="3" t="s">
        <v>66</v>
      </c>
      <c r="J1732" s="4">
        <v>8</v>
      </c>
      <c r="K1732" s="3" t="s">
        <v>21</v>
      </c>
      <c r="L1732" s="4">
        <v>3350912</v>
      </c>
      <c r="M1732" s="1">
        <f>O1732*J1732*K1732</f>
        <v>0</v>
      </c>
      <c r="N1732" s="3"/>
      <c r="O1732" s="2">
        <f>L1732/J1732*(1-K1732)</f>
        <v>418864</v>
      </c>
    </row>
    <row r="1733" ht="14.25">
      <c r="A1733" s="3" t="s">
        <v>834</v>
      </c>
      <c r="B1733" s="3" t="s">
        <v>1284</v>
      </c>
      <c r="C1733" s="3" t="s">
        <v>1300</v>
      </c>
      <c r="D1733" s="3" t="s">
        <v>17</v>
      </c>
      <c r="E1733" s="3" t="s">
        <v>610</v>
      </c>
      <c r="F1733" s="3" t="s">
        <v>19</v>
      </c>
      <c r="G1733" s="4">
        <v>0</v>
      </c>
      <c r="H1733" s="4">
        <v>17230200</v>
      </c>
      <c r="I1733" s="3" t="s">
        <v>127</v>
      </c>
      <c r="J1733" s="4">
        <v>6</v>
      </c>
      <c r="K1733" s="3" t="s">
        <v>21</v>
      </c>
      <c r="L1733" s="4">
        <v>1018020</v>
      </c>
      <c r="M1733" s="1">
        <f>O1733*J1733*K1733</f>
        <v>0</v>
      </c>
      <c r="N1733" s="3"/>
      <c r="O1733" s="2">
        <f>L1733/J1733*(1-K1733)</f>
        <v>169670</v>
      </c>
    </row>
    <row r="1734" ht="14.25">
      <c r="A1734" s="3" t="s">
        <v>834</v>
      </c>
      <c r="B1734" s="3" t="s">
        <v>1284</v>
      </c>
      <c r="C1734" s="3" t="s">
        <v>1300</v>
      </c>
      <c r="D1734" s="3" t="s">
        <v>17</v>
      </c>
      <c r="E1734" s="3" t="s">
        <v>610</v>
      </c>
      <c r="F1734" s="3" t="s">
        <v>19</v>
      </c>
      <c r="G1734" s="4">
        <v>0</v>
      </c>
      <c r="H1734" s="4">
        <v>17230200</v>
      </c>
      <c r="I1734" s="3" t="s">
        <v>187</v>
      </c>
      <c r="J1734" s="4">
        <v>20</v>
      </c>
      <c r="K1734" s="3" t="s">
        <v>21</v>
      </c>
      <c r="L1734" s="4">
        <v>928720</v>
      </c>
      <c r="M1734" s="1">
        <f>O1734*J1734*K1734</f>
        <v>0</v>
      </c>
      <c r="N1734" s="3"/>
      <c r="O1734" s="2">
        <f>L1734/J1734*(1-K1734)</f>
        <v>46436</v>
      </c>
    </row>
    <row r="1735" ht="14.25">
      <c r="A1735" s="3" t="s">
        <v>834</v>
      </c>
      <c r="B1735" s="3" t="s">
        <v>1284</v>
      </c>
      <c r="C1735" s="3" t="s">
        <v>1300</v>
      </c>
      <c r="D1735" s="3" t="s">
        <v>17</v>
      </c>
      <c r="E1735" s="3" t="s">
        <v>610</v>
      </c>
      <c r="F1735" s="3" t="s">
        <v>19</v>
      </c>
      <c r="G1735" s="4">
        <v>0</v>
      </c>
      <c r="H1735" s="4">
        <v>17230200</v>
      </c>
      <c r="I1735" s="3" t="s">
        <v>54</v>
      </c>
      <c r="J1735" s="4">
        <v>2</v>
      </c>
      <c r="K1735" s="3" t="s">
        <v>21</v>
      </c>
      <c r="L1735" s="4">
        <v>816672</v>
      </c>
      <c r="M1735" s="1">
        <f>O1735*J1735*K1735</f>
        <v>0</v>
      </c>
      <c r="N1735" s="3"/>
      <c r="O1735" s="2">
        <f>L1735/J1735*(1-K1735)</f>
        <v>408336</v>
      </c>
    </row>
    <row r="1736" ht="14.25">
      <c r="A1736" s="3" t="s">
        <v>834</v>
      </c>
      <c r="B1736" s="3" t="s">
        <v>1284</v>
      </c>
      <c r="C1736" s="3" t="s">
        <v>1300</v>
      </c>
      <c r="D1736" s="3" t="s">
        <v>17</v>
      </c>
      <c r="E1736" s="3" t="s">
        <v>610</v>
      </c>
      <c r="F1736" s="3" t="s">
        <v>19</v>
      </c>
      <c r="G1736" s="4">
        <v>0</v>
      </c>
      <c r="H1736" s="4">
        <v>17230200</v>
      </c>
      <c r="I1736" s="3" t="s">
        <v>55</v>
      </c>
      <c r="J1736" s="4">
        <v>8</v>
      </c>
      <c r="K1736" s="3" t="s">
        <v>21</v>
      </c>
      <c r="L1736" s="4">
        <v>1659664</v>
      </c>
      <c r="M1736" s="1">
        <f>O1736*J1736*K1736</f>
        <v>0</v>
      </c>
      <c r="N1736" s="3"/>
      <c r="O1736" s="2">
        <f>L1736/J1736*(1-K1736)</f>
        <v>207458</v>
      </c>
    </row>
    <row r="1737" ht="14.25">
      <c r="A1737" s="3" t="s">
        <v>834</v>
      </c>
      <c r="B1737" s="3" t="s">
        <v>1284</v>
      </c>
      <c r="C1737" s="3" t="s">
        <v>1300</v>
      </c>
      <c r="D1737" s="3" t="s">
        <v>17</v>
      </c>
      <c r="E1737" s="3" t="s">
        <v>610</v>
      </c>
      <c r="F1737" s="3" t="s">
        <v>19</v>
      </c>
      <c r="G1737" s="4">
        <v>0</v>
      </c>
      <c r="H1737" s="4">
        <v>17230200</v>
      </c>
      <c r="I1737" s="3" t="s">
        <v>197</v>
      </c>
      <c r="J1737" s="4">
        <v>20</v>
      </c>
      <c r="K1737" s="3" t="s">
        <v>21</v>
      </c>
      <c r="L1737" s="4">
        <v>891120</v>
      </c>
      <c r="M1737" s="1">
        <f>O1737*J1737*K1737</f>
        <v>0</v>
      </c>
      <c r="N1737" s="3"/>
      <c r="O1737" s="2">
        <f>L1737/J1737*(1-K1737)</f>
        <v>44556</v>
      </c>
    </row>
    <row r="1738" ht="14.25">
      <c r="A1738" s="3" t="s">
        <v>834</v>
      </c>
      <c r="B1738" s="3" t="s">
        <v>1284</v>
      </c>
      <c r="C1738" s="3" t="s">
        <v>1300</v>
      </c>
      <c r="D1738" s="3" t="s">
        <v>17</v>
      </c>
      <c r="E1738" s="3" t="s">
        <v>610</v>
      </c>
      <c r="F1738" s="3" t="s">
        <v>19</v>
      </c>
      <c r="G1738" s="4">
        <v>0</v>
      </c>
      <c r="H1738" s="4">
        <v>17230200</v>
      </c>
      <c r="I1738" s="3" t="s">
        <v>67</v>
      </c>
      <c r="J1738" s="4">
        <v>2</v>
      </c>
      <c r="K1738" s="3" t="s">
        <v>21</v>
      </c>
      <c r="L1738" s="4">
        <v>730380</v>
      </c>
      <c r="M1738" s="1">
        <f>O1738*J1738*K1738</f>
        <v>0</v>
      </c>
      <c r="N1738" s="3"/>
      <c r="O1738" s="2">
        <f>L1738/J1738*(1-K1738)</f>
        <v>365190</v>
      </c>
    </row>
    <row r="1739" ht="14.25">
      <c r="A1739" s="3" t="s">
        <v>834</v>
      </c>
      <c r="B1739" s="3" t="s">
        <v>1284</v>
      </c>
      <c r="C1739" s="3" t="s">
        <v>1300</v>
      </c>
      <c r="D1739" s="3" t="s">
        <v>17</v>
      </c>
      <c r="E1739" s="3" t="s">
        <v>610</v>
      </c>
      <c r="F1739" s="3" t="s">
        <v>19</v>
      </c>
      <c r="G1739" s="4">
        <v>0</v>
      </c>
      <c r="H1739" s="4">
        <v>17230200</v>
      </c>
      <c r="I1739" s="3" t="s">
        <v>36</v>
      </c>
      <c r="J1739" s="4">
        <v>8</v>
      </c>
      <c r="K1739" s="3" t="s">
        <v>21</v>
      </c>
      <c r="L1739" s="4">
        <v>1485200</v>
      </c>
      <c r="M1739" s="1">
        <f>O1739*J1739*K1739</f>
        <v>0</v>
      </c>
      <c r="N1739" s="3"/>
      <c r="O1739" s="2">
        <f>L1739/J1739*(1-K1739)</f>
        <v>185650</v>
      </c>
    </row>
    <row r="1740" ht="14.25">
      <c r="A1740" s="3" t="s">
        <v>834</v>
      </c>
      <c r="B1740" s="3" t="s">
        <v>1284</v>
      </c>
      <c r="C1740" s="3" t="s">
        <v>1300</v>
      </c>
      <c r="D1740" s="3" t="s">
        <v>17</v>
      </c>
      <c r="E1740" s="3" t="s">
        <v>610</v>
      </c>
      <c r="F1740" s="3" t="s">
        <v>19</v>
      </c>
      <c r="G1740" s="4">
        <v>0</v>
      </c>
      <c r="H1740" s="4">
        <v>17230200</v>
      </c>
      <c r="I1740" s="3" t="s">
        <v>68</v>
      </c>
      <c r="J1740" s="4">
        <v>20</v>
      </c>
      <c r="K1740" s="3" t="s">
        <v>21</v>
      </c>
      <c r="L1740" s="4">
        <v>817800</v>
      </c>
      <c r="M1740" s="1">
        <f>O1740*J1740*K1740</f>
        <v>0</v>
      </c>
      <c r="N1740" s="3"/>
      <c r="O1740" s="2">
        <f>L1740/J1740*(1-K1740)</f>
        <v>40890</v>
      </c>
    </row>
    <row r="1741" ht="14.25">
      <c r="A1741" s="3" t="s">
        <v>834</v>
      </c>
      <c r="B1741" s="3" t="s">
        <v>1284</v>
      </c>
      <c r="C1741" s="3" t="s">
        <v>1300</v>
      </c>
      <c r="D1741" s="3" t="s">
        <v>17</v>
      </c>
      <c r="E1741" s="3" t="s">
        <v>610</v>
      </c>
      <c r="F1741" s="3" t="s">
        <v>19</v>
      </c>
      <c r="G1741" s="4">
        <v>0</v>
      </c>
      <c r="H1741" s="4">
        <v>17230200</v>
      </c>
      <c r="I1741" s="3" t="s">
        <v>38</v>
      </c>
      <c r="J1741" s="4">
        <v>24</v>
      </c>
      <c r="K1741" s="3" t="s">
        <v>21</v>
      </c>
      <c r="L1741" s="4">
        <v>3819408</v>
      </c>
      <c r="M1741" s="1">
        <f>O1741*J1741*K1741</f>
        <v>0</v>
      </c>
      <c r="N1741" s="3"/>
      <c r="O1741" s="2">
        <f>L1741/J1741*(1-K1741)</f>
        <v>159142</v>
      </c>
    </row>
    <row r="1742" ht="14.25">
      <c r="A1742" s="3" t="s">
        <v>834</v>
      </c>
      <c r="B1742" s="3" t="s">
        <v>1284</v>
      </c>
      <c r="C1742" s="3" t="s">
        <v>1300</v>
      </c>
      <c r="D1742" s="3" t="s">
        <v>17</v>
      </c>
      <c r="E1742" s="3" t="s">
        <v>610</v>
      </c>
      <c r="F1742" s="3" t="s">
        <v>19</v>
      </c>
      <c r="G1742" s="4">
        <v>0</v>
      </c>
      <c r="H1742" s="4">
        <v>17230200</v>
      </c>
      <c r="I1742" s="3" t="s">
        <v>210</v>
      </c>
      <c r="J1742" s="4">
        <v>18</v>
      </c>
      <c r="K1742" s="3" t="s">
        <v>21</v>
      </c>
      <c r="L1742" s="4">
        <v>768168</v>
      </c>
      <c r="M1742" s="1">
        <f>O1742*J1742*K1742</f>
        <v>0</v>
      </c>
      <c r="N1742" s="3"/>
      <c r="O1742" s="2">
        <f>L1742/J1742*(1-K1742)</f>
        <v>42676</v>
      </c>
    </row>
    <row r="1743" ht="14.25">
      <c r="A1743" s="3" t="s">
        <v>834</v>
      </c>
      <c r="B1743" s="3" t="s">
        <v>1284</v>
      </c>
      <c r="C1743" s="3" t="s">
        <v>1300</v>
      </c>
      <c r="D1743" s="3" t="s">
        <v>17</v>
      </c>
      <c r="E1743" s="3" t="s">
        <v>610</v>
      </c>
      <c r="F1743" s="3" t="s">
        <v>19</v>
      </c>
      <c r="G1743" s="4">
        <v>0</v>
      </c>
      <c r="H1743" s="4">
        <v>17230200</v>
      </c>
      <c r="I1743" s="3" t="s">
        <v>611</v>
      </c>
      <c r="J1743" s="4">
        <v>6</v>
      </c>
      <c r="K1743" s="3" t="s">
        <v>21</v>
      </c>
      <c r="L1743" s="4">
        <v>944136</v>
      </c>
      <c r="M1743" s="1">
        <f>O1743*J1743*K1743</f>
        <v>0</v>
      </c>
      <c r="N1743" s="3"/>
      <c r="O1743" s="2">
        <f>L1743/J1743*(1-K1743)</f>
        <v>157356</v>
      </c>
    </row>
    <row r="1744" ht="14.25">
      <c r="A1744" s="3" t="s">
        <v>834</v>
      </c>
      <c r="B1744" s="3" t="s">
        <v>1284</v>
      </c>
      <c r="C1744" s="3" t="s">
        <v>1301</v>
      </c>
      <c r="D1744" s="3" t="s">
        <v>17</v>
      </c>
      <c r="E1744" s="3" t="s">
        <v>610</v>
      </c>
      <c r="F1744" s="3" t="s">
        <v>19</v>
      </c>
      <c r="G1744" s="4">
        <v>0</v>
      </c>
      <c r="H1744" s="4">
        <v>10500860</v>
      </c>
      <c r="I1744" s="3" t="s">
        <v>137</v>
      </c>
      <c r="J1744" s="4">
        <v>20</v>
      </c>
      <c r="K1744" s="3" t="s">
        <v>21</v>
      </c>
      <c r="L1744" s="4">
        <v>819680</v>
      </c>
      <c r="M1744" s="1">
        <f>O1744*J1744*K1744</f>
        <v>0</v>
      </c>
      <c r="N1744" s="3"/>
      <c r="O1744" s="2">
        <f>L1744/J1744*(1-K1744)</f>
        <v>40984</v>
      </c>
    </row>
    <row r="1745" ht="14.25">
      <c r="A1745" s="3" t="s">
        <v>834</v>
      </c>
      <c r="B1745" s="3" t="s">
        <v>1284</v>
      </c>
      <c r="C1745" s="3" t="s">
        <v>1301</v>
      </c>
      <c r="D1745" s="3" t="s">
        <v>17</v>
      </c>
      <c r="E1745" s="3" t="s">
        <v>610</v>
      </c>
      <c r="F1745" s="3" t="s">
        <v>19</v>
      </c>
      <c r="G1745" s="4">
        <v>0</v>
      </c>
      <c r="H1745" s="4">
        <v>10500860</v>
      </c>
      <c r="I1745" s="3" t="s">
        <v>185</v>
      </c>
      <c r="J1745" s="4">
        <v>6</v>
      </c>
      <c r="K1745" s="3" t="s">
        <v>21</v>
      </c>
      <c r="L1745" s="4">
        <v>1098672</v>
      </c>
      <c r="M1745" s="1">
        <f>O1745*J1745*K1745</f>
        <v>0</v>
      </c>
      <c r="N1745" s="3"/>
      <c r="O1745" s="2">
        <f>L1745/J1745*(1-K1745)</f>
        <v>183112</v>
      </c>
    </row>
    <row r="1746" ht="14.25">
      <c r="A1746" s="3" t="s">
        <v>834</v>
      </c>
      <c r="B1746" s="3" t="s">
        <v>1284</v>
      </c>
      <c r="C1746" s="3" t="s">
        <v>1301</v>
      </c>
      <c r="D1746" s="3" t="s">
        <v>17</v>
      </c>
      <c r="E1746" s="3" t="s">
        <v>610</v>
      </c>
      <c r="F1746" s="3" t="s">
        <v>19</v>
      </c>
      <c r="G1746" s="4">
        <v>0</v>
      </c>
      <c r="H1746" s="4">
        <v>10500860</v>
      </c>
      <c r="I1746" s="3" t="s">
        <v>452</v>
      </c>
      <c r="J1746" s="4">
        <v>6</v>
      </c>
      <c r="K1746" s="3" t="s">
        <v>21</v>
      </c>
      <c r="L1746" s="4">
        <v>1155072</v>
      </c>
      <c r="M1746" s="1">
        <f>O1746*J1746*K1746</f>
        <v>0</v>
      </c>
      <c r="N1746" s="3"/>
      <c r="O1746" s="2">
        <f>L1746/J1746*(1-K1746)</f>
        <v>192512</v>
      </c>
    </row>
    <row r="1747" ht="14.25">
      <c r="A1747" s="3" t="s">
        <v>834</v>
      </c>
      <c r="B1747" s="3" t="s">
        <v>1284</v>
      </c>
      <c r="C1747" s="3" t="s">
        <v>1301</v>
      </c>
      <c r="D1747" s="3" t="s">
        <v>17</v>
      </c>
      <c r="E1747" s="3" t="s">
        <v>610</v>
      </c>
      <c r="F1747" s="3" t="s">
        <v>19</v>
      </c>
      <c r="G1747" s="4">
        <v>0</v>
      </c>
      <c r="H1747" s="4">
        <v>10500860</v>
      </c>
      <c r="I1747" s="3" t="s">
        <v>877</v>
      </c>
      <c r="J1747" s="4">
        <v>6</v>
      </c>
      <c r="K1747" s="3" t="s">
        <v>21</v>
      </c>
      <c r="L1747" s="4">
        <v>1127436</v>
      </c>
      <c r="M1747" s="1">
        <f>O1747*J1747*K1747</f>
        <v>0</v>
      </c>
      <c r="N1747" s="3"/>
      <c r="O1747" s="2">
        <f>L1747/J1747*(1-K1747)</f>
        <v>187906</v>
      </c>
    </row>
    <row r="1748" ht="14.25">
      <c r="A1748" s="3" t="s">
        <v>834</v>
      </c>
      <c r="B1748" s="3" t="s">
        <v>1284</v>
      </c>
      <c r="C1748" s="3" t="s">
        <v>1301</v>
      </c>
      <c r="D1748" s="3" t="s">
        <v>17</v>
      </c>
      <c r="E1748" s="3" t="s">
        <v>610</v>
      </c>
      <c r="F1748" s="3" t="s">
        <v>19</v>
      </c>
      <c r="G1748" s="4">
        <v>0</v>
      </c>
      <c r="H1748" s="4">
        <v>10500860</v>
      </c>
      <c r="I1748" s="3" t="s">
        <v>1302</v>
      </c>
      <c r="J1748" s="4">
        <v>1</v>
      </c>
      <c r="K1748" s="3" t="s">
        <v>21</v>
      </c>
      <c r="L1748" s="4">
        <v>6300000</v>
      </c>
      <c r="M1748" s="1">
        <f>O1748*J1748*K1748</f>
        <v>0</v>
      </c>
      <c r="N1748" s="3"/>
      <c r="O1748" s="2">
        <f>L1748/J1748*(1-K1748)</f>
        <v>6300000</v>
      </c>
    </row>
    <row r="1749" ht="14.25">
      <c r="A1749" s="3" t="s">
        <v>834</v>
      </c>
      <c r="B1749" s="3" t="s">
        <v>1292</v>
      </c>
      <c r="C1749" s="3" t="s">
        <v>1303</v>
      </c>
      <c r="D1749" s="3" t="s">
        <v>17</v>
      </c>
      <c r="E1749" s="3" t="s">
        <v>1304</v>
      </c>
      <c r="F1749" s="3" t="s">
        <v>19</v>
      </c>
      <c r="G1749" s="4">
        <v>0</v>
      </c>
      <c r="H1749" s="4">
        <v>675000</v>
      </c>
      <c r="I1749" s="3" t="s">
        <v>600</v>
      </c>
      <c r="J1749" s="4">
        <v>1</v>
      </c>
      <c r="K1749" s="3" t="s">
        <v>21</v>
      </c>
      <c r="L1749" s="4">
        <v>500000</v>
      </c>
      <c r="M1749" s="1">
        <f>O1749*J1749*K1749</f>
        <v>0</v>
      </c>
      <c r="N1749" s="3"/>
      <c r="O1749" s="2">
        <f>L1749/J1749*(1-K1749)</f>
        <v>500000</v>
      </c>
    </row>
    <row r="1750" ht="14.25">
      <c r="A1750" s="3" t="s">
        <v>834</v>
      </c>
      <c r="B1750" s="3" t="s">
        <v>1292</v>
      </c>
      <c r="C1750" s="3" t="s">
        <v>1303</v>
      </c>
      <c r="D1750" s="3" t="s">
        <v>17</v>
      </c>
      <c r="E1750" s="3" t="s">
        <v>1304</v>
      </c>
      <c r="F1750" s="3" t="s">
        <v>19</v>
      </c>
      <c r="G1750" s="4">
        <v>0</v>
      </c>
      <c r="H1750" s="4">
        <v>675000</v>
      </c>
      <c r="I1750" s="3" t="s">
        <v>1052</v>
      </c>
      <c r="J1750" s="4">
        <v>1</v>
      </c>
      <c r="K1750" s="3" t="s">
        <v>21</v>
      </c>
      <c r="L1750" s="4">
        <v>175000</v>
      </c>
      <c r="M1750" s="1">
        <f>O1750*J1750*K1750</f>
        <v>0</v>
      </c>
      <c r="N1750" s="3"/>
      <c r="O1750" s="2">
        <f>L1750/J1750*(1-K1750)</f>
        <v>175000</v>
      </c>
    </row>
    <row r="1751" ht="14.25">
      <c r="A1751" s="3" t="s">
        <v>834</v>
      </c>
      <c r="B1751" s="3" t="s">
        <v>1284</v>
      </c>
      <c r="C1751" s="3" t="s">
        <v>1305</v>
      </c>
      <c r="D1751" s="3" t="s">
        <v>17</v>
      </c>
      <c r="E1751" s="3" t="s">
        <v>143</v>
      </c>
      <c r="F1751" s="3" t="s">
        <v>19</v>
      </c>
      <c r="G1751" s="4">
        <v>0</v>
      </c>
      <c r="H1751" s="4">
        <v>400000</v>
      </c>
      <c r="I1751" s="3" t="s">
        <v>600</v>
      </c>
      <c r="J1751" s="4">
        <v>1</v>
      </c>
      <c r="K1751" s="3" t="s">
        <v>21</v>
      </c>
      <c r="L1751" s="4">
        <v>400000</v>
      </c>
      <c r="M1751" s="1">
        <f>O1751*J1751*K1751</f>
        <v>0</v>
      </c>
      <c r="N1751" s="3"/>
      <c r="O1751" s="2">
        <f>L1751/J1751*(1-K1751)</f>
        <v>400000</v>
      </c>
    </row>
    <row r="1752" ht="14.25">
      <c r="A1752" s="3" t="s">
        <v>834</v>
      </c>
      <c r="B1752" s="3" t="s">
        <v>1284</v>
      </c>
      <c r="C1752" s="3" t="s">
        <v>1306</v>
      </c>
      <c r="D1752" s="3" t="s">
        <v>17</v>
      </c>
      <c r="E1752" s="3" t="s">
        <v>726</v>
      </c>
      <c r="F1752" s="3" t="s">
        <v>19</v>
      </c>
      <c r="G1752" s="4">
        <v>0</v>
      </c>
      <c r="H1752" s="4">
        <v>33752186</v>
      </c>
      <c r="I1752" s="3" t="s">
        <v>171</v>
      </c>
      <c r="J1752" s="4">
        <v>2</v>
      </c>
      <c r="K1752" s="3" t="s">
        <v>21</v>
      </c>
      <c r="L1752" s="4">
        <v>10200000</v>
      </c>
      <c r="M1752" s="1">
        <f>O1752*J1752*K1752</f>
        <v>0</v>
      </c>
      <c r="N1752" s="3"/>
      <c r="O1752" s="2">
        <f>L1752/J1752*(1-K1752)</f>
        <v>5100000</v>
      </c>
    </row>
    <row r="1753" ht="14.25">
      <c r="A1753" s="3" t="s">
        <v>834</v>
      </c>
      <c r="B1753" s="3" t="s">
        <v>1284</v>
      </c>
      <c r="C1753" s="3" t="s">
        <v>1306</v>
      </c>
      <c r="D1753" s="3" t="s">
        <v>17</v>
      </c>
      <c r="E1753" s="3" t="s">
        <v>726</v>
      </c>
      <c r="F1753" s="3" t="s">
        <v>19</v>
      </c>
      <c r="G1753" s="4">
        <v>0</v>
      </c>
      <c r="H1753" s="4">
        <v>33752186</v>
      </c>
      <c r="I1753" s="3" t="s">
        <v>541</v>
      </c>
      <c r="J1753" s="4">
        <v>1</v>
      </c>
      <c r="K1753" s="3" t="s">
        <v>21</v>
      </c>
      <c r="L1753" s="4">
        <v>5500000</v>
      </c>
      <c r="M1753" s="1">
        <f>O1753*J1753*K1753</f>
        <v>0</v>
      </c>
      <c r="N1753" s="3"/>
      <c r="O1753" s="2">
        <f>L1753/J1753*(1-K1753)</f>
        <v>5500000</v>
      </c>
    </row>
    <row r="1754" ht="14.25">
      <c r="A1754" s="3" t="s">
        <v>834</v>
      </c>
      <c r="B1754" s="3" t="s">
        <v>1284</v>
      </c>
      <c r="C1754" s="3" t="s">
        <v>1306</v>
      </c>
      <c r="D1754" s="3" t="s">
        <v>17</v>
      </c>
      <c r="E1754" s="3" t="s">
        <v>726</v>
      </c>
      <c r="F1754" s="3" t="s">
        <v>19</v>
      </c>
      <c r="G1754" s="4">
        <v>0</v>
      </c>
      <c r="H1754" s="4">
        <v>33752186</v>
      </c>
      <c r="I1754" s="3" t="s">
        <v>39</v>
      </c>
      <c r="J1754" s="4">
        <v>1</v>
      </c>
      <c r="K1754" s="3" t="s">
        <v>21</v>
      </c>
      <c r="L1754" s="4">
        <v>3700000</v>
      </c>
      <c r="M1754" s="1">
        <f>O1754*J1754*K1754</f>
        <v>0</v>
      </c>
      <c r="N1754" s="3"/>
      <c r="O1754" s="2">
        <f>L1754/J1754*(1-K1754)</f>
        <v>3700000</v>
      </c>
    </row>
    <row r="1755" ht="14.25">
      <c r="A1755" s="3" t="s">
        <v>834</v>
      </c>
      <c r="B1755" s="3" t="s">
        <v>1284</v>
      </c>
      <c r="C1755" s="3" t="s">
        <v>1306</v>
      </c>
      <c r="D1755" s="3" t="s">
        <v>17</v>
      </c>
      <c r="E1755" s="3" t="s">
        <v>726</v>
      </c>
      <c r="F1755" s="3" t="s">
        <v>19</v>
      </c>
      <c r="G1755" s="4">
        <v>0</v>
      </c>
      <c r="H1755" s="4">
        <v>33752186</v>
      </c>
      <c r="I1755" s="3" t="s">
        <v>600</v>
      </c>
      <c r="J1755" s="4">
        <v>3</v>
      </c>
      <c r="K1755" s="3" t="s">
        <v>21</v>
      </c>
      <c r="L1755" s="4">
        <v>1170000</v>
      </c>
      <c r="M1755" s="1">
        <f>O1755*J1755*K1755</f>
        <v>0</v>
      </c>
      <c r="N1755" s="3"/>
      <c r="O1755" s="2">
        <f>L1755/J1755*(1-K1755)</f>
        <v>390000</v>
      </c>
    </row>
    <row r="1756" ht="14.25">
      <c r="A1756" s="3" t="s">
        <v>834</v>
      </c>
      <c r="B1756" s="3" t="s">
        <v>1284</v>
      </c>
      <c r="C1756" s="3" t="s">
        <v>1306</v>
      </c>
      <c r="D1756" s="3" t="s">
        <v>17</v>
      </c>
      <c r="E1756" s="3" t="s">
        <v>726</v>
      </c>
      <c r="F1756" s="3" t="s">
        <v>19</v>
      </c>
      <c r="G1756" s="4">
        <v>0</v>
      </c>
      <c r="H1756" s="4">
        <v>33752186</v>
      </c>
      <c r="I1756" s="3" t="s">
        <v>1307</v>
      </c>
      <c r="J1756" s="4">
        <v>24</v>
      </c>
      <c r="K1756" s="3" t="s">
        <v>21</v>
      </c>
      <c r="L1756" s="4">
        <v>1033200</v>
      </c>
      <c r="M1756" s="1">
        <f>O1756*J1756*K1756</f>
        <v>0</v>
      </c>
      <c r="N1756" s="3"/>
      <c r="O1756" s="2">
        <f>L1756/J1756*(1-K1756)</f>
        <v>43050</v>
      </c>
    </row>
    <row r="1757" ht="14.25">
      <c r="A1757" s="3" t="s">
        <v>834</v>
      </c>
      <c r="B1757" s="3" t="s">
        <v>1284</v>
      </c>
      <c r="C1757" s="3" t="s">
        <v>1306</v>
      </c>
      <c r="D1757" s="3" t="s">
        <v>17</v>
      </c>
      <c r="E1757" s="3" t="s">
        <v>726</v>
      </c>
      <c r="F1757" s="3" t="s">
        <v>19</v>
      </c>
      <c r="G1757" s="4">
        <v>0</v>
      </c>
      <c r="H1757" s="4">
        <v>33752186</v>
      </c>
      <c r="I1757" s="3" t="s">
        <v>356</v>
      </c>
      <c r="J1757" s="4">
        <v>12</v>
      </c>
      <c r="K1757" s="3" t="s">
        <v>21</v>
      </c>
      <c r="L1757" s="4">
        <v>2904300</v>
      </c>
      <c r="M1757" s="1">
        <f>O1757*J1757*K1757</f>
        <v>0</v>
      </c>
      <c r="N1757" s="3"/>
      <c r="O1757" s="2">
        <f>L1757/J1757*(1-K1757)</f>
        <v>242025</v>
      </c>
    </row>
    <row r="1758" ht="14.25">
      <c r="A1758" s="3" t="s">
        <v>834</v>
      </c>
      <c r="B1758" s="3" t="s">
        <v>1284</v>
      </c>
      <c r="C1758" s="3" t="s">
        <v>1306</v>
      </c>
      <c r="D1758" s="3" t="s">
        <v>17</v>
      </c>
      <c r="E1758" s="3" t="s">
        <v>726</v>
      </c>
      <c r="F1758" s="3" t="s">
        <v>19</v>
      </c>
      <c r="G1758" s="4">
        <v>0</v>
      </c>
      <c r="H1758" s="4">
        <v>33752186</v>
      </c>
      <c r="I1758" s="3" t="s">
        <v>1308</v>
      </c>
      <c r="J1758" s="4">
        <v>24</v>
      </c>
      <c r="K1758" s="3" t="s">
        <v>21</v>
      </c>
      <c r="L1758" s="4">
        <v>1512000</v>
      </c>
      <c r="M1758" s="1">
        <f>O1758*J1758*K1758</f>
        <v>0</v>
      </c>
      <c r="N1758" s="3"/>
      <c r="O1758" s="2">
        <f>L1758/J1758*(1-K1758)</f>
        <v>63000</v>
      </c>
    </row>
    <row r="1759" ht="14.25">
      <c r="A1759" s="3" t="s">
        <v>834</v>
      </c>
      <c r="B1759" s="3" t="s">
        <v>1284</v>
      </c>
      <c r="C1759" s="3" t="s">
        <v>1306</v>
      </c>
      <c r="D1759" s="3" t="s">
        <v>17</v>
      </c>
      <c r="E1759" s="3" t="s">
        <v>726</v>
      </c>
      <c r="F1759" s="3" t="s">
        <v>19</v>
      </c>
      <c r="G1759" s="4">
        <v>0</v>
      </c>
      <c r="H1759" s="4">
        <v>33752186</v>
      </c>
      <c r="I1759" s="3" t="s">
        <v>1309</v>
      </c>
      <c r="J1759" s="4">
        <v>36</v>
      </c>
      <c r="K1759" s="3" t="s">
        <v>21</v>
      </c>
      <c r="L1759" s="4">
        <v>2434932</v>
      </c>
      <c r="M1759" s="1">
        <f>O1759*J1759*K1759</f>
        <v>0</v>
      </c>
      <c r="N1759" s="3"/>
      <c r="O1759" s="2">
        <f>L1759/J1759*(1-K1759)</f>
        <v>67637</v>
      </c>
    </row>
    <row r="1760" ht="14.25">
      <c r="A1760" s="3" t="s">
        <v>834</v>
      </c>
      <c r="B1760" s="3" t="s">
        <v>1284</v>
      </c>
      <c r="C1760" s="3" t="s">
        <v>1306</v>
      </c>
      <c r="D1760" s="3" t="s">
        <v>17</v>
      </c>
      <c r="E1760" s="3" t="s">
        <v>726</v>
      </c>
      <c r="F1760" s="3" t="s">
        <v>19</v>
      </c>
      <c r="G1760" s="4">
        <v>0</v>
      </c>
      <c r="H1760" s="4">
        <v>33752186</v>
      </c>
      <c r="I1760" s="3" t="s">
        <v>1291</v>
      </c>
      <c r="J1760" s="4">
        <v>4</v>
      </c>
      <c r="K1760" s="3" t="s">
        <v>21</v>
      </c>
      <c r="L1760" s="4">
        <v>1350300</v>
      </c>
      <c r="M1760" s="1">
        <f>O1760*J1760*K1760</f>
        <v>0</v>
      </c>
      <c r="N1760" s="3"/>
      <c r="O1760" s="2">
        <f>L1760/J1760*(1-K1760)</f>
        <v>337575</v>
      </c>
    </row>
    <row r="1761" ht="14.25">
      <c r="A1761" s="3" t="s">
        <v>834</v>
      </c>
      <c r="B1761" s="3" t="s">
        <v>1284</v>
      </c>
      <c r="C1761" s="3" t="s">
        <v>1306</v>
      </c>
      <c r="D1761" s="3" t="s">
        <v>17</v>
      </c>
      <c r="E1761" s="3" t="s">
        <v>726</v>
      </c>
      <c r="F1761" s="3" t="s">
        <v>19</v>
      </c>
      <c r="G1761" s="4">
        <v>0</v>
      </c>
      <c r="H1761" s="4">
        <v>33752186</v>
      </c>
      <c r="I1761" s="3" t="s">
        <v>183</v>
      </c>
      <c r="J1761" s="4">
        <v>12</v>
      </c>
      <c r="K1761" s="3" t="s">
        <v>21</v>
      </c>
      <c r="L1761" s="4">
        <v>1026900</v>
      </c>
      <c r="M1761" s="1">
        <f>O1761*J1761*K1761</f>
        <v>0</v>
      </c>
      <c r="N1761" s="3"/>
      <c r="O1761" s="2">
        <f>L1761/J1761*(1-K1761)</f>
        <v>85575</v>
      </c>
    </row>
    <row r="1762" ht="14.25">
      <c r="A1762" s="3" t="s">
        <v>834</v>
      </c>
      <c r="B1762" s="3" t="s">
        <v>1284</v>
      </c>
      <c r="C1762" s="3" t="s">
        <v>1306</v>
      </c>
      <c r="D1762" s="3" t="s">
        <v>17</v>
      </c>
      <c r="E1762" s="3" t="s">
        <v>726</v>
      </c>
      <c r="F1762" s="3" t="s">
        <v>19</v>
      </c>
      <c r="G1762" s="4">
        <v>0</v>
      </c>
      <c r="H1762" s="4">
        <v>33752186</v>
      </c>
      <c r="I1762" s="3" t="s">
        <v>1286</v>
      </c>
      <c r="J1762" s="4">
        <v>9</v>
      </c>
      <c r="K1762" s="3" t="s">
        <v>21</v>
      </c>
      <c r="L1762" s="4">
        <v>2284254</v>
      </c>
      <c r="M1762" s="1">
        <f>O1762*J1762*K1762</f>
        <v>0</v>
      </c>
      <c r="N1762" s="3"/>
      <c r="O1762" s="2">
        <f>L1762/J1762*(1-K1762)</f>
        <v>253806</v>
      </c>
    </row>
    <row r="1763" ht="14.25">
      <c r="A1763" s="3" t="s">
        <v>834</v>
      </c>
      <c r="B1763" s="3" t="s">
        <v>1284</v>
      </c>
      <c r="C1763" s="3" t="s">
        <v>1306</v>
      </c>
      <c r="D1763" s="3" t="s">
        <v>17</v>
      </c>
      <c r="E1763" s="3" t="s">
        <v>726</v>
      </c>
      <c r="F1763" s="3" t="s">
        <v>19</v>
      </c>
      <c r="G1763" s="4">
        <v>0</v>
      </c>
      <c r="H1763" s="4">
        <v>33752186</v>
      </c>
      <c r="I1763" s="3" t="s">
        <v>744</v>
      </c>
      <c r="J1763" s="4">
        <v>12</v>
      </c>
      <c r="K1763" s="3" t="s">
        <v>21</v>
      </c>
      <c r="L1763" s="4">
        <v>636300</v>
      </c>
      <c r="M1763" s="1">
        <f>O1763*J1763*K1763</f>
        <v>0</v>
      </c>
      <c r="N1763" s="3"/>
      <c r="O1763" s="2">
        <f>L1763/J1763*(1-K1763)</f>
        <v>53025</v>
      </c>
    </row>
    <row r="1764" ht="14.25">
      <c r="A1764" s="3" t="s">
        <v>834</v>
      </c>
      <c r="B1764" s="3" t="s">
        <v>1284</v>
      </c>
      <c r="C1764" s="3" t="s">
        <v>1310</v>
      </c>
      <c r="D1764" s="3" t="s">
        <v>17</v>
      </c>
      <c r="E1764" s="3" t="s">
        <v>726</v>
      </c>
      <c r="F1764" s="3" t="s">
        <v>19</v>
      </c>
      <c r="G1764" s="4">
        <v>0</v>
      </c>
      <c r="H1764" s="4">
        <v>10459122</v>
      </c>
      <c r="I1764" s="3" t="s">
        <v>1311</v>
      </c>
      <c r="J1764" s="4">
        <v>9</v>
      </c>
      <c r="K1764" s="3" t="s">
        <v>21</v>
      </c>
      <c r="L1764" s="4">
        <v>1814400</v>
      </c>
      <c r="M1764" s="1">
        <f>O1764*J1764*K1764</f>
        <v>0</v>
      </c>
      <c r="N1764" s="3"/>
      <c r="O1764" s="2">
        <f>L1764/J1764*(1-K1764)</f>
        <v>201600</v>
      </c>
    </row>
    <row r="1765" ht="14.25">
      <c r="A1765" s="3" t="s">
        <v>834</v>
      </c>
      <c r="B1765" s="3" t="s">
        <v>1284</v>
      </c>
      <c r="C1765" s="3" t="s">
        <v>1310</v>
      </c>
      <c r="D1765" s="3" t="s">
        <v>17</v>
      </c>
      <c r="E1765" s="3" t="s">
        <v>726</v>
      </c>
      <c r="F1765" s="3" t="s">
        <v>19</v>
      </c>
      <c r="G1765" s="4">
        <v>0</v>
      </c>
      <c r="H1765" s="4">
        <v>10459122</v>
      </c>
      <c r="I1765" s="3" t="s">
        <v>36</v>
      </c>
      <c r="J1765" s="4">
        <v>16</v>
      </c>
      <c r="K1765" s="3" t="s">
        <v>745</v>
      </c>
      <c r="L1765" s="4">
        <v>3160000</v>
      </c>
      <c r="M1765" s="1">
        <f>O1765*J1765*K1765</f>
        <v>205716.00000000003</v>
      </c>
      <c r="N1765" s="3"/>
      <c r="O1765" s="2">
        <f>L1765/J1765*(1-K1765)</f>
        <v>183675</v>
      </c>
    </row>
    <row r="1766" ht="14.25">
      <c r="A1766" s="3" t="s">
        <v>834</v>
      </c>
      <c r="B1766" s="3" t="s">
        <v>1284</v>
      </c>
      <c r="C1766" s="3" t="s">
        <v>1310</v>
      </c>
      <c r="D1766" s="3" t="s">
        <v>17</v>
      </c>
      <c r="E1766" s="3" t="s">
        <v>726</v>
      </c>
      <c r="F1766" s="3" t="s">
        <v>19</v>
      </c>
      <c r="G1766" s="4">
        <v>0</v>
      </c>
      <c r="H1766" s="4">
        <v>10459122</v>
      </c>
      <c r="I1766" s="3" t="s">
        <v>55</v>
      </c>
      <c r="J1766" s="4">
        <v>12</v>
      </c>
      <c r="K1766" s="3" t="s">
        <v>745</v>
      </c>
      <c r="L1766" s="4">
        <v>2648400</v>
      </c>
      <c r="M1766" s="1">
        <f>O1766*J1766*K1766</f>
        <v>172410.84000000003</v>
      </c>
      <c r="N1766" s="3"/>
      <c r="O1766" s="2">
        <f>L1766/J1766*(1-K1766)</f>
        <v>205251</v>
      </c>
    </row>
    <row r="1767" ht="14.25">
      <c r="A1767" s="3" t="s">
        <v>834</v>
      </c>
      <c r="B1767" s="3" t="s">
        <v>1284</v>
      </c>
      <c r="C1767" s="3" t="s">
        <v>1310</v>
      </c>
      <c r="D1767" s="3" t="s">
        <v>17</v>
      </c>
      <c r="E1767" s="3" t="s">
        <v>726</v>
      </c>
      <c r="F1767" s="3" t="s">
        <v>19</v>
      </c>
      <c r="G1767" s="4">
        <v>0</v>
      </c>
      <c r="H1767" s="4">
        <v>10459122</v>
      </c>
      <c r="I1767" s="3" t="s">
        <v>242</v>
      </c>
      <c r="J1767" s="4">
        <v>4</v>
      </c>
      <c r="K1767" s="3" t="s">
        <v>745</v>
      </c>
      <c r="L1767" s="4">
        <v>762800</v>
      </c>
      <c r="M1767" s="1">
        <f>O1767*J1767*K1767</f>
        <v>49658.280000000006</v>
      </c>
      <c r="N1767" s="3"/>
      <c r="O1767" s="2">
        <f>L1767/J1767*(1-K1767)</f>
        <v>177351</v>
      </c>
    </row>
    <row r="1768" ht="14.25">
      <c r="A1768" s="3" t="s">
        <v>834</v>
      </c>
      <c r="B1768" s="3" t="s">
        <v>1284</v>
      </c>
      <c r="C1768" s="3" t="s">
        <v>1310</v>
      </c>
      <c r="D1768" s="3" t="s">
        <v>17</v>
      </c>
      <c r="E1768" s="3" t="s">
        <v>726</v>
      </c>
      <c r="F1768" s="3" t="s">
        <v>19</v>
      </c>
      <c r="G1768" s="4">
        <v>0</v>
      </c>
      <c r="H1768" s="4">
        <v>10459122</v>
      </c>
      <c r="I1768" s="3" t="s">
        <v>66</v>
      </c>
      <c r="J1768" s="4">
        <v>2</v>
      </c>
      <c r="K1768" s="3" t="s">
        <v>745</v>
      </c>
      <c r="L1768" s="4">
        <v>891200</v>
      </c>
      <c r="M1768" s="1">
        <f>O1768*J1768*K1768</f>
        <v>58017.120000000003</v>
      </c>
      <c r="N1768" s="3"/>
      <c r="O1768" s="2">
        <f>L1768/J1768*(1-K1768)</f>
        <v>414408</v>
      </c>
    </row>
    <row r="1769" ht="14.25">
      <c r="A1769" s="3" t="s">
        <v>834</v>
      </c>
      <c r="B1769" s="3" t="s">
        <v>1284</v>
      </c>
      <c r="C1769" s="3" t="s">
        <v>1310</v>
      </c>
      <c r="D1769" s="3" t="s">
        <v>17</v>
      </c>
      <c r="E1769" s="3" t="s">
        <v>726</v>
      </c>
      <c r="F1769" s="3" t="s">
        <v>19</v>
      </c>
      <c r="G1769" s="4">
        <v>0</v>
      </c>
      <c r="H1769" s="4">
        <v>10459122</v>
      </c>
      <c r="I1769" s="3" t="s">
        <v>38</v>
      </c>
      <c r="J1769" s="4">
        <v>6</v>
      </c>
      <c r="K1769" s="3" t="s">
        <v>745</v>
      </c>
      <c r="L1769" s="4">
        <v>1015800</v>
      </c>
      <c r="M1769" s="1">
        <f>O1769*J1769*K1769</f>
        <v>66128.580000000002</v>
      </c>
      <c r="N1769" s="3"/>
      <c r="O1769" s="2">
        <f>L1769/J1769*(1-K1769)</f>
        <v>157449</v>
      </c>
    </row>
    <row r="1770" ht="14.25">
      <c r="A1770" s="3" t="s">
        <v>834</v>
      </c>
      <c r="B1770" s="3" t="s">
        <v>1284</v>
      </c>
      <c r="C1770" s="3" t="s">
        <v>1310</v>
      </c>
      <c r="D1770" s="3" t="s">
        <v>17</v>
      </c>
      <c r="E1770" s="3" t="s">
        <v>726</v>
      </c>
      <c r="F1770" s="3" t="s">
        <v>19</v>
      </c>
      <c r="G1770" s="4">
        <v>0</v>
      </c>
      <c r="H1770" s="4">
        <v>10459122</v>
      </c>
      <c r="I1770" s="3" t="s">
        <v>210</v>
      </c>
      <c r="J1770" s="4">
        <v>18</v>
      </c>
      <c r="K1770" s="3" t="s">
        <v>745</v>
      </c>
      <c r="L1770" s="4">
        <v>817200</v>
      </c>
      <c r="M1770" s="1">
        <f>O1770*J1770*K1770</f>
        <v>53199.720000000008</v>
      </c>
      <c r="N1770" s="3"/>
      <c r="O1770" s="2">
        <f>L1770/J1770*(1-K1770)</f>
        <v>42222</v>
      </c>
    </row>
    <row r="1771" ht="14.25">
      <c r="A1771" s="3" t="s">
        <v>878</v>
      </c>
      <c r="B1771" s="3" t="s">
        <v>1292</v>
      </c>
      <c r="C1771" s="3" t="s">
        <v>1312</v>
      </c>
      <c r="D1771" s="3" t="s">
        <v>17</v>
      </c>
      <c r="E1771" s="3" t="s">
        <v>286</v>
      </c>
      <c r="F1771" s="3" t="s">
        <v>19</v>
      </c>
      <c r="G1771" s="4">
        <v>0</v>
      </c>
      <c r="H1771" s="4">
        <v>300000</v>
      </c>
      <c r="I1771" s="3" t="s">
        <v>1052</v>
      </c>
      <c r="J1771" s="4">
        <v>2</v>
      </c>
      <c r="K1771" s="3" t="s">
        <v>21</v>
      </c>
      <c r="L1771" s="4">
        <v>300000</v>
      </c>
      <c r="M1771" s="1">
        <f>O1771*J1771*K1771</f>
        <v>0</v>
      </c>
      <c r="N1771" s="3"/>
      <c r="O1771" s="2">
        <f>L1771/J1771*(1-K1771)</f>
        <v>150000</v>
      </c>
    </row>
    <row r="1772" ht="14.25">
      <c r="A1772" s="3" t="s">
        <v>878</v>
      </c>
      <c r="B1772" s="3" t="s">
        <v>1292</v>
      </c>
      <c r="C1772" s="3" t="s">
        <v>1313</v>
      </c>
      <c r="D1772" s="3" t="s">
        <v>17</v>
      </c>
      <c r="E1772" s="3" t="s">
        <v>1314</v>
      </c>
      <c r="F1772" s="3" t="s">
        <v>19</v>
      </c>
      <c r="G1772" s="4">
        <v>0</v>
      </c>
      <c r="H1772" s="4">
        <v>6000000</v>
      </c>
      <c r="I1772" s="3" t="s">
        <v>135</v>
      </c>
      <c r="J1772" s="4">
        <v>5</v>
      </c>
      <c r="K1772" s="3" t="s">
        <v>21</v>
      </c>
      <c r="L1772" s="4">
        <v>6000000</v>
      </c>
      <c r="M1772" s="1">
        <f>O1772*J1772*K1772</f>
        <v>0</v>
      </c>
      <c r="N1772" s="3"/>
      <c r="O1772" s="2">
        <f>L1772/J1772*(1-K1772)</f>
        <v>1200000</v>
      </c>
    </row>
    <row r="1773" ht="14.25">
      <c r="A1773" s="3" t="s">
        <v>878</v>
      </c>
      <c r="B1773" s="3" t="s">
        <v>1292</v>
      </c>
      <c r="C1773" s="3" t="s">
        <v>1315</v>
      </c>
      <c r="D1773" s="3" t="s">
        <v>17</v>
      </c>
      <c r="E1773" s="3" t="s">
        <v>346</v>
      </c>
      <c r="F1773" s="3" t="s">
        <v>19</v>
      </c>
      <c r="G1773" s="4">
        <v>0</v>
      </c>
      <c r="H1773" s="4">
        <v>91500000</v>
      </c>
      <c r="I1773" s="3" t="s">
        <v>105</v>
      </c>
      <c r="J1773" s="4">
        <v>5</v>
      </c>
      <c r="K1773" s="3" t="s">
        <v>21</v>
      </c>
      <c r="L1773" s="4">
        <v>28000000</v>
      </c>
      <c r="M1773" s="1">
        <f>O1773*J1773*K1773</f>
        <v>0</v>
      </c>
      <c r="N1773" s="3"/>
      <c r="O1773" s="2">
        <f>L1773/J1773*(1-K1773)</f>
        <v>5600000</v>
      </c>
    </row>
    <row r="1774" ht="14.25">
      <c r="A1774" s="3" t="s">
        <v>878</v>
      </c>
      <c r="B1774" s="3" t="s">
        <v>1292</v>
      </c>
      <c r="C1774" s="3" t="s">
        <v>1315</v>
      </c>
      <c r="D1774" s="3" t="s">
        <v>17</v>
      </c>
      <c r="E1774" s="3" t="s">
        <v>346</v>
      </c>
      <c r="F1774" s="3" t="s">
        <v>19</v>
      </c>
      <c r="G1774" s="4">
        <v>0</v>
      </c>
      <c r="H1774" s="4">
        <v>91500000</v>
      </c>
      <c r="I1774" s="3" t="s">
        <v>86</v>
      </c>
      <c r="J1774" s="4">
        <v>10</v>
      </c>
      <c r="K1774" s="3" t="s">
        <v>21</v>
      </c>
      <c r="L1774" s="4">
        <v>51000000</v>
      </c>
      <c r="M1774" s="1">
        <f>O1774*J1774*K1774</f>
        <v>0</v>
      </c>
      <c r="N1774" s="3"/>
      <c r="O1774" s="2">
        <f>L1774/J1774*(1-K1774)</f>
        <v>5100000</v>
      </c>
    </row>
    <row r="1775" ht="14.25">
      <c r="A1775" s="3" t="s">
        <v>878</v>
      </c>
      <c r="B1775" s="3" t="s">
        <v>1292</v>
      </c>
      <c r="C1775" s="3" t="s">
        <v>1315</v>
      </c>
      <c r="D1775" s="3" t="s">
        <v>17</v>
      </c>
      <c r="E1775" s="3" t="s">
        <v>346</v>
      </c>
      <c r="F1775" s="3" t="s">
        <v>19</v>
      </c>
      <c r="G1775" s="4">
        <v>0</v>
      </c>
      <c r="H1775" s="4">
        <v>91500000</v>
      </c>
      <c r="I1775" s="3" t="s">
        <v>347</v>
      </c>
      <c r="J1775" s="4">
        <v>3</v>
      </c>
      <c r="K1775" s="3" t="s">
        <v>21</v>
      </c>
      <c r="L1775" s="4">
        <v>12000000</v>
      </c>
      <c r="M1775" s="1">
        <f>O1775*J1775*K1775</f>
        <v>0</v>
      </c>
      <c r="N1775" s="3"/>
      <c r="O1775" s="2">
        <f>L1775/J1775*(1-K1775)</f>
        <v>4000000</v>
      </c>
    </row>
    <row r="1776" ht="14.25">
      <c r="A1776" s="3" t="s">
        <v>878</v>
      </c>
      <c r="B1776" s="3" t="s">
        <v>1292</v>
      </c>
      <c r="C1776" s="3" t="s">
        <v>1315</v>
      </c>
      <c r="D1776" s="3" t="s">
        <v>17</v>
      </c>
      <c r="E1776" s="3" t="s">
        <v>346</v>
      </c>
      <c r="F1776" s="3" t="s">
        <v>19</v>
      </c>
      <c r="G1776" s="4">
        <v>0</v>
      </c>
      <c r="H1776" s="4">
        <v>91500000</v>
      </c>
      <c r="I1776" s="3" t="s">
        <v>1316</v>
      </c>
      <c r="J1776" s="4">
        <v>5</v>
      </c>
      <c r="K1776" s="3" t="s">
        <v>21</v>
      </c>
      <c r="L1776" s="4">
        <v>500000</v>
      </c>
      <c r="M1776" s="1">
        <f>O1776*J1776*K1776</f>
        <v>0</v>
      </c>
      <c r="N1776" s="3"/>
      <c r="O1776" s="2">
        <f>L1776/J1776*(1-K1776)</f>
        <v>100000</v>
      </c>
    </row>
    <row r="1777" ht="14.25">
      <c r="A1777" s="3" t="s">
        <v>878</v>
      </c>
      <c r="B1777" s="3" t="s">
        <v>878</v>
      </c>
      <c r="C1777" s="3" t="s">
        <v>1317</v>
      </c>
      <c r="D1777" s="3" t="s">
        <v>17</v>
      </c>
      <c r="E1777" s="3" t="s">
        <v>214</v>
      </c>
      <c r="F1777" s="3" t="s">
        <v>19</v>
      </c>
      <c r="G1777" s="4">
        <v>0</v>
      </c>
      <c r="H1777" s="4">
        <v>17100000</v>
      </c>
      <c r="I1777" s="3" t="s">
        <v>105</v>
      </c>
      <c r="J1777" s="4">
        <v>3</v>
      </c>
      <c r="K1777" s="3" t="s">
        <v>21</v>
      </c>
      <c r="L1777" s="4">
        <v>17100000</v>
      </c>
      <c r="M1777" s="1">
        <f>O1777*J1777*K1777</f>
        <v>0</v>
      </c>
      <c r="N1777" s="3"/>
      <c r="O1777" s="2">
        <f>L1777/J1777*(1-K1777)</f>
        <v>5700000</v>
      </c>
    </row>
    <row r="1778" ht="14.25">
      <c r="A1778" s="3" t="s">
        <v>878</v>
      </c>
      <c r="B1778" s="3" t="s">
        <v>878</v>
      </c>
      <c r="C1778" s="3" t="s">
        <v>1318</v>
      </c>
      <c r="D1778" s="3" t="s">
        <v>159</v>
      </c>
      <c r="E1778" s="3" t="s">
        <v>221</v>
      </c>
      <c r="F1778" s="3" t="s">
        <v>19</v>
      </c>
      <c r="G1778" s="4">
        <v>12870000</v>
      </c>
      <c r="H1778" s="4">
        <v>12870000</v>
      </c>
      <c r="I1778" s="3" t="s">
        <v>400</v>
      </c>
      <c r="J1778" s="4">
        <v>20</v>
      </c>
      <c r="K1778" s="3" t="s">
        <v>21</v>
      </c>
      <c r="L1778" s="4">
        <v>6600000</v>
      </c>
      <c r="M1778" s="1">
        <f>O1778*J1778*K1778</f>
        <v>0</v>
      </c>
      <c r="N1778" s="3"/>
      <c r="O1778" s="2">
        <f>L1778/J1778*(1-K1778)</f>
        <v>330000</v>
      </c>
    </row>
    <row r="1779" ht="14.25">
      <c r="A1779" s="3" t="s">
        <v>878</v>
      </c>
      <c r="B1779" s="3" t="s">
        <v>878</v>
      </c>
      <c r="C1779" s="3" t="s">
        <v>1318</v>
      </c>
      <c r="D1779" s="3" t="s">
        <v>159</v>
      </c>
      <c r="E1779" s="3" t="s">
        <v>221</v>
      </c>
      <c r="F1779" s="3" t="s">
        <v>19</v>
      </c>
      <c r="G1779" s="4">
        <v>12870000</v>
      </c>
      <c r="H1779" s="4">
        <v>12870000</v>
      </c>
      <c r="I1779" s="3" t="s">
        <v>417</v>
      </c>
      <c r="J1779" s="4">
        <v>12</v>
      </c>
      <c r="K1779" s="3" t="s">
        <v>21</v>
      </c>
      <c r="L1779" s="4">
        <v>1950000</v>
      </c>
      <c r="M1779" s="1">
        <f>O1779*J1779*K1779</f>
        <v>0</v>
      </c>
      <c r="N1779" s="3"/>
      <c r="O1779" s="2">
        <f>L1779/J1779*(1-K1779)</f>
        <v>162500</v>
      </c>
    </row>
    <row r="1780" ht="14.25">
      <c r="A1780" s="3" t="s">
        <v>878</v>
      </c>
      <c r="B1780" s="3" t="s">
        <v>878</v>
      </c>
      <c r="C1780" s="3" t="s">
        <v>1318</v>
      </c>
      <c r="D1780" s="3" t="s">
        <v>159</v>
      </c>
      <c r="E1780" s="3" t="s">
        <v>221</v>
      </c>
      <c r="F1780" s="3" t="s">
        <v>19</v>
      </c>
      <c r="G1780" s="4">
        <v>12870000</v>
      </c>
      <c r="H1780" s="4">
        <v>12870000</v>
      </c>
      <c r="I1780" s="3" t="s">
        <v>474</v>
      </c>
      <c r="J1780" s="4">
        <v>10</v>
      </c>
      <c r="K1780" s="3" t="s">
        <v>21</v>
      </c>
      <c r="L1780" s="4">
        <v>3300000</v>
      </c>
      <c r="M1780" s="1">
        <f>O1780*J1780*K1780</f>
        <v>0</v>
      </c>
      <c r="N1780" s="3"/>
      <c r="O1780" s="2">
        <f>L1780/J1780*(1-K1780)</f>
        <v>330000</v>
      </c>
    </row>
    <row r="1781" ht="14.25">
      <c r="A1781" s="3" t="s">
        <v>878</v>
      </c>
      <c r="B1781" s="3" t="s">
        <v>878</v>
      </c>
      <c r="C1781" s="3" t="s">
        <v>1318</v>
      </c>
      <c r="D1781" s="3" t="s">
        <v>159</v>
      </c>
      <c r="E1781" s="3" t="s">
        <v>221</v>
      </c>
      <c r="F1781" s="3" t="s">
        <v>19</v>
      </c>
      <c r="G1781" s="4">
        <v>12870000</v>
      </c>
      <c r="H1781" s="4">
        <v>12870000</v>
      </c>
      <c r="I1781" s="3" t="s">
        <v>365</v>
      </c>
      <c r="J1781" s="4">
        <v>4</v>
      </c>
      <c r="K1781" s="3" t="s">
        <v>353</v>
      </c>
      <c r="L1781" s="4">
        <v>1200000</v>
      </c>
      <c r="M1781" s="1">
        <f>O1781*J1781*K1781</f>
        <v>153000</v>
      </c>
      <c r="N1781" s="3"/>
      <c r="O1781" s="2">
        <f>L1781/J1781*(1-K1781)</f>
        <v>255000</v>
      </c>
    </row>
    <row r="1782" ht="14.25">
      <c r="A1782" s="3" t="s">
        <v>878</v>
      </c>
      <c r="B1782" s="3" t="s">
        <v>878</v>
      </c>
      <c r="C1782" s="3" t="s">
        <v>1319</v>
      </c>
      <c r="D1782" s="3" t="s">
        <v>17</v>
      </c>
      <c r="E1782" s="3" t="s">
        <v>750</v>
      </c>
      <c r="F1782" s="3" t="s">
        <v>19</v>
      </c>
      <c r="G1782" s="4">
        <v>0</v>
      </c>
      <c r="H1782" s="4">
        <v>3500000</v>
      </c>
      <c r="I1782" s="3" t="s">
        <v>39</v>
      </c>
      <c r="J1782" s="4">
        <v>1</v>
      </c>
      <c r="K1782" s="3" t="s">
        <v>21</v>
      </c>
      <c r="L1782" s="4">
        <v>3500000</v>
      </c>
      <c r="M1782" s="1">
        <f>O1782*J1782*K1782</f>
        <v>0</v>
      </c>
      <c r="N1782" s="3"/>
      <c r="O1782" s="2">
        <f>L1782/J1782*(1-K1782)</f>
        <v>3500000</v>
      </c>
    </row>
    <row r="1783" ht="14.25">
      <c r="A1783" s="3" t="s">
        <v>878</v>
      </c>
      <c r="B1783" s="3" t="s">
        <v>878</v>
      </c>
      <c r="C1783" s="3" t="s">
        <v>1320</v>
      </c>
      <c r="D1783" s="3" t="s">
        <v>17</v>
      </c>
      <c r="E1783" s="3" t="s">
        <v>1321</v>
      </c>
      <c r="F1783" s="3" t="s">
        <v>19</v>
      </c>
      <c r="G1783" s="4">
        <v>0</v>
      </c>
      <c r="H1783" s="4">
        <v>360000</v>
      </c>
      <c r="I1783" s="3" t="s">
        <v>831</v>
      </c>
      <c r="J1783" s="4">
        <v>1</v>
      </c>
      <c r="K1783" s="3" t="s">
        <v>21</v>
      </c>
      <c r="L1783" s="4">
        <v>360000</v>
      </c>
      <c r="M1783" s="1">
        <f>O1783*J1783*K1783</f>
        <v>0</v>
      </c>
      <c r="N1783" s="3"/>
      <c r="O1783" s="2">
        <f>L1783/J1783*(1-K1783)</f>
        <v>360000</v>
      </c>
    </row>
    <row r="1784" ht="14.25">
      <c r="A1784" s="3" t="s">
        <v>878</v>
      </c>
      <c r="B1784" s="3" t="s">
        <v>878</v>
      </c>
      <c r="C1784" s="3" t="s">
        <v>1322</v>
      </c>
      <c r="D1784" s="3" t="s">
        <v>159</v>
      </c>
      <c r="E1784" s="3" t="s">
        <v>1323</v>
      </c>
      <c r="F1784" s="3" t="s">
        <v>19</v>
      </c>
      <c r="G1784" s="4">
        <v>322128</v>
      </c>
      <c r="H1784" s="4">
        <v>622128</v>
      </c>
      <c r="I1784" s="3" t="s">
        <v>162</v>
      </c>
      <c r="J1784" s="4">
        <v>24</v>
      </c>
      <c r="K1784" s="3" t="s">
        <v>21</v>
      </c>
      <c r="L1784" s="4">
        <v>202488</v>
      </c>
      <c r="M1784" s="1">
        <f>O1784*J1784*K1784</f>
        <v>0</v>
      </c>
      <c r="N1784" s="3"/>
      <c r="O1784" s="2">
        <f>L1784/J1784*(1-K1784)</f>
        <v>8437</v>
      </c>
    </row>
    <row r="1785" ht="14.25">
      <c r="A1785" s="3" t="s">
        <v>878</v>
      </c>
      <c r="B1785" s="3" t="s">
        <v>878</v>
      </c>
      <c r="C1785" s="3" t="s">
        <v>1322</v>
      </c>
      <c r="D1785" s="3" t="s">
        <v>159</v>
      </c>
      <c r="E1785" s="3" t="s">
        <v>1323</v>
      </c>
      <c r="F1785" s="3" t="s">
        <v>19</v>
      </c>
      <c r="G1785" s="4">
        <v>322128</v>
      </c>
      <c r="H1785" s="4">
        <v>622128</v>
      </c>
      <c r="I1785" s="3" t="s">
        <v>201</v>
      </c>
      <c r="J1785" s="4">
        <v>12</v>
      </c>
      <c r="K1785" s="3" t="s">
        <v>21</v>
      </c>
      <c r="L1785" s="4">
        <v>419640</v>
      </c>
      <c r="M1785" s="1">
        <f>O1785*J1785*K1785</f>
        <v>0</v>
      </c>
      <c r="N1785" s="3"/>
      <c r="O1785" s="2">
        <f>L1785/J1785*(1-K1785)</f>
        <v>34970</v>
      </c>
    </row>
    <row r="1786" ht="14.25">
      <c r="A1786" s="3" t="s">
        <v>878</v>
      </c>
      <c r="B1786" s="3" t="s">
        <v>878</v>
      </c>
      <c r="C1786" s="3" t="s">
        <v>1324</v>
      </c>
      <c r="D1786" s="3" t="s">
        <v>17</v>
      </c>
      <c r="E1786" s="3" t="s">
        <v>78</v>
      </c>
      <c r="F1786" s="3" t="s">
        <v>19</v>
      </c>
      <c r="G1786" s="4">
        <v>0</v>
      </c>
      <c r="H1786" s="4">
        <v>1225000</v>
      </c>
      <c r="I1786" s="3" t="s">
        <v>319</v>
      </c>
      <c r="J1786" s="4">
        <v>5</v>
      </c>
      <c r="K1786" s="3" t="s">
        <v>21</v>
      </c>
      <c r="L1786" s="4">
        <v>1225000</v>
      </c>
      <c r="M1786" s="1">
        <f>O1786*J1786*K1786</f>
        <v>0</v>
      </c>
      <c r="N1786" s="3"/>
      <c r="O1786" s="2">
        <f>L1786/J1786*(1-K1786)</f>
        <v>245000</v>
      </c>
    </row>
    <row r="1787" ht="14.25">
      <c r="A1787" s="3" t="s">
        <v>878</v>
      </c>
      <c r="B1787" s="3" t="s">
        <v>878</v>
      </c>
      <c r="C1787" s="3" t="s">
        <v>1325</v>
      </c>
      <c r="D1787" s="3" t="s">
        <v>17</v>
      </c>
      <c r="E1787" s="3" t="s">
        <v>837</v>
      </c>
      <c r="F1787" s="3" t="s">
        <v>19</v>
      </c>
      <c r="G1787" s="4">
        <v>0</v>
      </c>
      <c r="H1787" s="4">
        <v>7000000</v>
      </c>
      <c r="I1787" s="3" t="s">
        <v>1268</v>
      </c>
      <c r="J1787" s="4">
        <v>1</v>
      </c>
      <c r="K1787" s="3" t="s">
        <v>21</v>
      </c>
      <c r="L1787" s="4">
        <v>7000000</v>
      </c>
      <c r="M1787" s="1">
        <f>O1787*J1787*K1787</f>
        <v>0</v>
      </c>
      <c r="N1787" s="3"/>
      <c r="O1787" s="2">
        <f>L1787/J1787*(1-K1787)</f>
        <v>7000000</v>
      </c>
    </row>
    <row r="1788" ht="14.25">
      <c r="A1788" s="3" t="s">
        <v>878</v>
      </c>
      <c r="B1788" s="3" t="s">
        <v>1326</v>
      </c>
      <c r="C1788" s="3" t="s">
        <v>1327</v>
      </c>
      <c r="D1788" s="3" t="s">
        <v>17</v>
      </c>
      <c r="E1788" s="3" t="s">
        <v>1328</v>
      </c>
      <c r="F1788" s="3" t="s">
        <v>19</v>
      </c>
      <c r="G1788" s="4">
        <v>0</v>
      </c>
      <c r="H1788" s="4">
        <v>3052344</v>
      </c>
      <c r="I1788" s="3" t="s">
        <v>1329</v>
      </c>
      <c r="J1788" s="4">
        <v>12</v>
      </c>
      <c r="K1788" s="3" t="s">
        <v>21</v>
      </c>
      <c r="L1788" s="4">
        <v>516600</v>
      </c>
      <c r="M1788" s="1">
        <f>O1788*J1788*K1788</f>
        <v>0</v>
      </c>
      <c r="N1788" s="3"/>
      <c r="O1788" s="2">
        <f>L1788/J1788*(1-K1788)</f>
        <v>43050</v>
      </c>
    </row>
    <row r="1789" ht="14.25">
      <c r="A1789" s="3" t="s">
        <v>878</v>
      </c>
      <c r="B1789" s="3" t="s">
        <v>1326</v>
      </c>
      <c r="C1789" s="3" t="s">
        <v>1327</v>
      </c>
      <c r="D1789" s="3" t="s">
        <v>17</v>
      </c>
      <c r="E1789" s="3" t="s">
        <v>1328</v>
      </c>
      <c r="F1789" s="3" t="s">
        <v>19</v>
      </c>
      <c r="G1789" s="4">
        <v>0</v>
      </c>
      <c r="H1789" s="4">
        <v>3052344</v>
      </c>
      <c r="I1789" s="3" t="s">
        <v>1308</v>
      </c>
      <c r="J1789" s="4">
        <v>12</v>
      </c>
      <c r="K1789" s="3" t="s">
        <v>21</v>
      </c>
      <c r="L1789" s="4">
        <v>756000</v>
      </c>
      <c r="M1789" s="1">
        <f>O1789*J1789*K1789</f>
        <v>0</v>
      </c>
      <c r="N1789" s="3"/>
      <c r="O1789" s="2">
        <f>L1789/J1789*(1-K1789)</f>
        <v>63000</v>
      </c>
    </row>
    <row r="1790" ht="14.25">
      <c r="A1790" s="3" t="s">
        <v>878</v>
      </c>
      <c r="B1790" s="3" t="s">
        <v>1326</v>
      </c>
      <c r="C1790" s="3" t="s">
        <v>1327</v>
      </c>
      <c r="D1790" s="3" t="s">
        <v>17</v>
      </c>
      <c r="E1790" s="3" t="s">
        <v>1328</v>
      </c>
      <c r="F1790" s="3" t="s">
        <v>19</v>
      </c>
      <c r="G1790" s="4">
        <v>0</v>
      </c>
      <c r="H1790" s="4">
        <v>3052344</v>
      </c>
      <c r="I1790" s="3" t="s">
        <v>356</v>
      </c>
      <c r="J1790" s="4">
        <v>4</v>
      </c>
      <c r="K1790" s="3" t="s">
        <v>21</v>
      </c>
      <c r="L1790" s="4">
        <v>968100</v>
      </c>
      <c r="M1790" s="1">
        <f>O1790*J1790*K1790</f>
        <v>0</v>
      </c>
      <c r="N1790" s="3"/>
      <c r="O1790" s="2">
        <f>L1790/J1790*(1-K1790)</f>
        <v>242025</v>
      </c>
    </row>
    <row r="1791" ht="14.25">
      <c r="A1791" s="3" t="s">
        <v>878</v>
      </c>
      <c r="B1791" s="3" t="s">
        <v>1326</v>
      </c>
      <c r="C1791" s="3" t="s">
        <v>1327</v>
      </c>
      <c r="D1791" s="3" t="s">
        <v>17</v>
      </c>
      <c r="E1791" s="3" t="s">
        <v>1328</v>
      </c>
      <c r="F1791" s="3" t="s">
        <v>19</v>
      </c>
      <c r="G1791" s="4">
        <v>0</v>
      </c>
      <c r="H1791" s="4">
        <v>3052344</v>
      </c>
      <c r="I1791" s="3" t="s">
        <v>1309</v>
      </c>
      <c r="J1791" s="4">
        <v>12</v>
      </c>
      <c r="K1791" s="3" t="s">
        <v>21</v>
      </c>
      <c r="L1791" s="4">
        <v>811644</v>
      </c>
      <c r="M1791" s="1">
        <f>O1791*J1791*K1791</f>
        <v>0</v>
      </c>
      <c r="N1791" s="3"/>
      <c r="O1791" s="2">
        <f>L1791/J1791*(1-K1791)</f>
        <v>67637</v>
      </c>
    </row>
    <row r="1792" ht="14.25">
      <c r="A1792" s="3" t="s">
        <v>878</v>
      </c>
      <c r="B1792" s="3" t="s">
        <v>1033</v>
      </c>
      <c r="C1792" s="3" t="s">
        <v>1330</v>
      </c>
      <c r="D1792" s="3" t="s">
        <v>17</v>
      </c>
      <c r="E1792" s="3" t="s">
        <v>441</v>
      </c>
      <c r="F1792" s="3" t="s">
        <v>19</v>
      </c>
      <c r="G1792" s="4">
        <v>0</v>
      </c>
      <c r="H1792" s="4">
        <v>19225000</v>
      </c>
      <c r="I1792" s="3" t="s">
        <v>922</v>
      </c>
      <c r="J1792" s="4">
        <v>1</v>
      </c>
      <c r="K1792" s="3" t="s">
        <v>21</v>
      </c>
      <c r="L1792" s="4">
        <v>7000000</v>
      </c>
      <c r="M1792" s="1">
        <f>O1792*J1792*K1792</f>
        <v>0</v>
      </c>
      <c r="N1792" s="3"/>
      <c r="O1792" s="2">
        <f>L1792/J1792*(1-K1792)</f>
        <v>7000000</v>
      </c>
    </row>
    <row r="1793" ht="14.25">
      <c r="A1793" s="3" t="s">
        <v>878</v>
      </c>
      <c r="B1793" s="3" t="s">
        <v>1033</v>
      </c>
      <c r="C1793" s="3" t="s">
        <v>1330</v>
      </c>
      <c r="D1793" s="3" t="s">
        <v>17</v>
      </c>
      <c r="E1793" s="3" t="s">
        <v>441</v>
      </c>
      <c r="F1793" s="3" t="s">
        <v>19</v>
      </c>
      <c r="G1793" s="4">
        <v>0</v>
      </c>
      <c r="H1793" s="4">
        <v>19225000</v>
      </c>
      <c r="I1793" s="3" t="s">
        <v>86</v>
      </c>
      <c r="J1793" s="4">
        <v>2</v>
      </c>
      <c r="K1793" s="3" t="s">
        <v>21</v>
      </c>
      <c r="L1793" s="4">
        <v>11000000</v>
      </c>
      <c r="M1793" s="1">
        <f>O1793*J1793*K1793</f>
        <v>0</v>
      </c>
      <c r="N1793" s="3"/>
      <c r="O1793" s="2">
        <f>L1793/J1793*(1-K1793)</f>
        <v>5500000</v>
      </c>
    </row>
    <row r="1794" ht="14.25">
      <c r="A1794" s="3" t="s">
        <v>878</v>
      </c>
      <c r="B1794" s="3" t="s">
        <v>1033</v>
      </c>
      <c r="C1794" s="3" t="s">
        <v>1330</v>
      </c>
      <c r="D1794" s="3" t="s">
        <v>17</v>
      </c>
      <c r="E1794" s="3" t="s">
        <v>441</v>
      </c>
      <c r="F1794" s="3" t="s">
        <v>19</v>
      </c>
      <c r="G1794" s="4">
        <v>0</v>
      </c>
      <c r="H1794" s="4">
        <v>19225000</v>
      </c>
      <c r="I1794" s="3" t="s">
        <v>318</v>
      </c>
      <c r="J1794" s="4">
        <v>5</v>
      </c>
      <c r="K1794" s="3" t="s">
        <v>21</v>
      </c>
      <c r="L1794" s="4">
        <v>1225000</v>
      </c>
      <c r="M1794" s="1">
        <f>O1794*J1794*K1794</f>
        <v>0</v>
      </c>
      <c r="N1794" s="3"/>
      <c r="O1794" s="2">
        <f>L1794/J1794*(1-K1794)</f>
        <v>245000</v>
      </c>
    </row>
    <row r="1795" ht="14.25">
      <c r="A1795" s="3" t="s">
        <v>878</v>
      </c>
      <c r="B1795" s="3" t="s">
        <v>1326</v>
      </c>
      <c r="C1795" s="3" t="s">
        <v>1331</v>
      </c>
      <c r="D1795" s="3" t="s">
        <v>17</v>
      </c>
      <c r="E1795" s="3" t="s">
        <v>1049</v>
      </c>
      <c r="F1795" s="3" t="s">
        <v>19</v>
      </c>
      <c r="G1795" s="4">
        <v>0</v>
      </c>
      <c r="H1795" s="4">
        <v>1440000</v>
      </c>
      <c r="I1795" s="3" t="s">
        <v>622</v>
      </c>
      <c r="J1795" s="4">
        <v>9</v>
      </c>
      <c r="K1795" s="3" t="s">
        <v>21</v>
      </c>
      <c r="L1795" s="4">
        <v>1080000</v>
      </c>
      <c r="M1795" s="1">
        <f>O1795*J1795*K1795</f>
        <v>0</v>
      </c>
      <c r="N1795" s="3"/>
      <c r="O1795" s="2">
        <f>L1795/J1795*(1-K1795)</f>
        <v>120000</v>
      </c>
    </row>
    <row r="1796" ht="14.25">
      <c r="A1796" s="3" t="s">
        <v>878</v>
      </c>
      <c r="B1796" s="3" t="s">
        <v>1326</v>
      </c>
      <c r="C1796" s="3" t="s">
        <v>1331</v>
      </c>
      <c r="D1796" s="3" t="s">
        <v>17</v>
      </c>
      <c r="E1796" s="3" t="s">
        <v>1049</v>
      </c>
      <c r="F1796" s="3" t="s">
        <v>19</v>
      </c>
      <c r="G1796" s="4">
        <v>0</v>
      </c>
      <c r="H1796" s="4">
        <v>1440000</v>
      </c>
      <c r="I1796" s="3" t="s">
        <v>1244</v>
      </c>
      <c r="J1796" s="4">
        <v>12</v>
      </c>
      <c r="K1796" s="3" t="s">
        <v>21</v>
      </c>
      <c r="L1796" s="4">
        <v>360000</v>
      </c>
      <c r="M1796" s="1">
        <f>O1796*J1796*K1796</f>
        <v>0</v>
      </c>
      <c r="N1796" s="3"/>
      <c r="O1796" s="2">
        <f>L1796/J1796*(1-K1796)</f>
        <v>30000</v>
      </c>
    </row>
    <row r="1797" ht="14.25">
      <c r="A1797" s="3" t="s">
        <v>878</v>
      </c>
      <c r="B1797" s="3" t="s">
        <v>878</v>
      </c>
      <c r="C1797" s="3" t="s">
        <v>1332</v>
      </c>
      <c r="D1797" s="3" t="s">
        <v>17</v>
      </c>
      <c r="E1797" s="3" t="s">
        <v>1304</v>
      </c>
      <c r="F1797" s="3" t="s">
        <v>19</v>
      </c>
      <c r="G1797" s="4">
        <v>0</v>
      </c>
      <c r="H1797" s="4">
        <v>175000</v>
      </c>
      <c r="I1797" s="3" t="s">
        <v>1052</v>
      </c>
      <c r="J1797" s="4">
        <v>1</v>
      </c>
      <c r="K1797" s="3" t="s">
        <v>21</v>
      </c>
      <c r="L1797" s="4">
        <v>175000</v>
      </c>
      <c r="M1797" s="1">
        <f>O1797*J1797*K1797</f>
        <v>0</v>
      </c>
      <c r="N1797" s="3"/>
      <c r="O1797" s="2">
        <f>L1797/J1797*(1-K1797)</f>
        <v>175000</v>
      </c>
    </row>
    <row r="1798" ht="14.25">
      <c r="A1798" s="3" t="s">
        <v>878</v>
      </c>
      <c r="B1798" s="3" t="s">
        <v>1326</v>
      </c>
      <c r="C1798" s="3" t="s">
        <v>1333</v>
      </c>
      <c r="D1798" s="3" t="s">
        <v>17</v>
      </c>
      <c r="E1798" s="3" t="s">
        <v>786</v>
      </c>
      <c r="F1798" s="3" t="s">
        <v>19</v>
      </c>
      <c r="G1798" s="4">
        <v>0</v>
      </c>
      <c r="H1798" s="4">
        <v>761418</v>
      </c>
      <c r="I1798" s="3" t="s">
        <v>125</v>
      </c>
      <c r="J1798" s="4">
        <v>3</v>
      </c>
      <c r="K1798" s="3" t="s">
        <v>21</v>
      </c>
      <c r="L1798" s="4">
        <v>761418</v>
      </c>
      <c r="M1798" s="1">
        <f>O1798*J1798*K1798</f>
        <v>0</v>
      </c>
      <c r="N1798" s="3"/>
      <c r="O1798" s="2">
        <f>L1798/J1798*(1-K1798)</f>
        <v>253806</v>
      </c>
    </row>
    <row r="1799" ht="14.25">
      <c r="A1799" s="3" t="s">
        <v>878</v>
      </c>
      <c r="B1799" s="3" t="s">
        <v>1033</v>
      </c>
      <c r="C1799" s="3" t="s">
        <v>1334</v>
      </c>
      <c r="D1799" s="3" t="s">
        <v>159</v>
      </c>
      <c r="E1799" s="3" t="s">
        <v>107</v>
      </c>
      <c r="F1799" s="3" t="s">
        <v>19</v>
      </c>
      <c r="G1799" s="4">
        <v>660904</v>
      </c>
      <c r="H1799" s="4">
        <v>17326200</v>
      </c>
      <c r="I1799" s="3" t="s">
        <v>884</v>
      </c>
      <c r="J1799" s="4">
        <v>96</v>
      </c>
      <c r="K1799" s="3" t="s">
        <v>21</v>
      </c>
      <c r="L1799" s="4">
        <v>2720064</v>
      </c>
      <c r="M1799" s="1">
        <f>O1799*J1799*K1799</f>
        <v>0</v>
      </c>
      <c r="N1799" s="3"/>
      <c r="O1799" s="2">
        <f>L1799/J1799*(1-K1799)</f>
        <v>28334</v>
      </c>
    </row>
    <row r="1800" ht="14.25">
      <c r="A1800" s="3" t="s">
        <v>878</v>
      </c>
      <c r="B1800" s="3" t="s">
        <v>1033</v>
      </c>
      <c r="C1800" s="3" t="s">
        <v>1334</v>
      </c>
      <c r="D1800" s="3" t="s">
        <v>159</v>
      </c>
      <c r="E1800" s="3" t="s">
        <v>107</v>
      </c>
      <c r="F1800" s="3" t="s">
        <v>19</v>
      </c>
      <c r="G1800" s="4">
        <v>660904</v>
      </c>
      <c r="H1800" s="4">
        <v>17326200</v>
      </c>
      <c r="I1800" s="3" t="s">
        <v>419</v>
      </c>
      <c r="J1800" s="4">
        <v>72</v>
      </c>
      <c r="K1800" s="3" t="s">
        <v>21</v>
      </c>
      <c r="L1800" s="4">
        <v>2040048</v>
      </c>
      <c r="M1800" s="1">
        <f>O1800*J1800*K1800</f>
        <v>0</v>
      </c>
      <c r="N1800" s="3"/>
      <c r="O1800" s="2">
        <f>L1800/J1800*(1-K1800)</f>
        <v>28334</v>
      </c>
    </row>
    <row r="1801" ht="14.25">
      <c r="A1801" s="3" t="s">
        <v>878</v>
      </c>
      <c r="B1801" s="3" t="s">
        <v>1033</v>
      </c>
      <c r="C1801" s="3" t="s">
        <v>1334</v>
      </c>
      <c r="D1801" s="3" t="s">
        <v>159</v>
      </c>
      <c r="E1801" s="3" t="s">
        <v>107</v>
      </c>
      <c r="F1801" s="3" t="s">
        <v>19</v>
      </c>
      <c r="G1801" s="4">
        <v>660904</v>
      </c>
      <c r="H1801" s="4">
        <v>17326200</v>
      </c>
      <c r="I1801" s="3" t="s">
        <v>484</v>
      </c>
      <c r="J1801" s="4">
        <v>24</v>
      </c>
      <c r="K1801" s="3" t="s">
        <v>21</v>
      </c>
      <c r="L1801" s="4">
        <v>940008</v>
      </c>
      <c r="M1801" s="1">
        <f>O1801*J1801*K1801</f>
        <v>0</v>
      </c>
      <c r="N1801" s="3"/>
      <c r="O1801" s="2">
        <f>L1801/J1801*(1-K1801)</f>
        <v>39167</v>
      </c>
    </row>
    <row r="1802" ht="14.25">
      <c r="A1802" s="3" t="s">
        <v>878</v>
      </c>
      <c r="B1802" s="3" t="s">
        <v>1033</v>
      </c>
      <c r="C1802" s="3" t="s">
        <v>1334</v>
      </c>
      <c r="D1802" s="3" t="s">
        <v>159</v>
      </c>
      <c r="E1802" s="3" t="s">
        <v>107</v>
      </c>
      <c r="F1802" s="3" t="s">
        <v>19</v>
      </c>
      <c r="G1802" s="4">
        <v>660904</v>
      </c>
      <c r="H1802" s="4">
        <v>17326200</v>
      </c>
      <c r="I1802" s="3" t="s">
        <v>46</v>
      </c>
      <c r="J1802" s="4">
        <v>24</v>
      </c>
      <c r="K1802" s="3" t="s">
        <v>21</v>
      </c>
      <c r="L1802" s="4">
        <v>760008</v>
      </c>
      <c r="M1802" s="1">
        <f>O1802*J1802*K1802</f>
        <v>0</v>
      </c>
      <c r="N1802" s="3"/>
      <c r="O1802" s="2">
        <f>L1802/J1802*(1-K1802)</f>
        <v>31667</v>
      </c>
    </row>
    <row r="1803" ht="14.25">
      <c r="A1803" s="3" t="s">
        <v>878</v>
      </c>
      <c r="B1803" s="3" t="s">
        <v>1033</v>
      </c>
      <c r="C1803" s="3" t="s">
        <v>1334</v>
      </c>
      <c r="D1803" s="3" t="s">
        <v>159</v>
      </c>
      <c r="E1803" s="3" t="s">
        <v>107</v>
      </c>
      <c r="F1803" s="3" t="s">
        <v>19</v>
      </c>
      <c r="G1803" s="4">
        <v>660904</v>
      </c>
      <c r="H1803" s="4">
        <v>17326200</v>
      </c>
      <c r="I1803" s="3" t="s">
        <v>45</v>
      </c>
      <c r="J1803" s="4">
        <v>72</v>
      </c>
      <c r="K1803" s="3" t="s">
        <v>21</v>
      </c>
      <c r="L1803" s="4">
        <v>1920024</v>
      </c>
      <c r="M1803" s="1">
        <f>O1803*J1803*K1803</f>
        <v>0</v>
      </c>
      <c r="N1803" s="3"/>
      <c r="O1803" s="2">
        <f>L1803/J1803*(1-K1803)</f>
        <v>26667</v>
      </c>
    </row>
    <row r="1804" ht="14.25">
      <c r="A1804" s="3" t="s">
        <v>878</v>
      </c>
      <c r="B1804" s="3" t="s">
        <v>1033</v>
      </c>
      <c r="C1804" s="3" t="s">
        <v>1334</v>
      </c>
      <c r="D1804" s="3" t="s">
        <v>159</v>
      </c>
      <c r="E1804" s="3" t="s">
        <v>107</v>
      </c>
      <c r="F1804" s="3" t="s">
        <v>19</v>
      </c>
      <c r="G1804" s="4">
        <v>660904</v>
      </c>
      <c r="H1804" s="4">
        <v>17326200</v>
      </c>
      <c r="I1804" s="3" t="s">
        <v>32</v>
      </c>
      <c r="J1804" s="4">
        <v>72</v>
      </c>
      <c r="K1804" s="3" t="s">
        <v>21</v>
      </c>
      <c r="L1804" s="4">
        <v>1620000</v>
      </c>
      <c r="M1804" s="1">
        <f>O1804*J1804*K1804</f>
        <v>0</v>
      </c>
      <c r="N1804" s="3"/>
      <c r="O1804" s="2">
        <f>L1804/J1804*(1-K1804)</f>
        <v>22500</v>
      </c>
    </row>
    <row r="1805" ht="14.25">
      <c r="A1805" s="3" t="s">
        <v>878</v>
      </c>
      <c r="B1805" s="3" t="s">
        <v>1033</v>
      </c>
      <c r="C1805" s="3" t="s">
        <v>1334</v>
      </c>
      <c r="D1805" s="3" t="s">
        <v>159</v>
      </c>
      <c r="E1805" s="3" t="s">
        <v>107</v>
      </c>
      <c r="F1805" s="3" t="s">
        <v>19</v>
      </c>
      <c r="G1805" s="4">
        <v>660904</v>
      </c>
      <c r="H1805" s="4">
        <v>17326200</v>
      </c>
      <c r="I1805" s="3" t="s">
        <v>108</v>
      </c>
      <c r="J1805" s="4">
        <v>72</v>
      </c>
      <c r="K1805" s="3" t="s">
        <v>21</v>
      </c>
      <c r="L1805" s="4">
        <v>1656000</v>
      </c>
      <c r="M1805" s="1">
        <f>O1805*J1805*K1805</f>
        <v>0</v>
      </c>
      <c r="N1805" s="3"/>
      <c r="O1805" s="2">
        <f>L1805/J1805*(1-K1805)</f>
        <v>23000</v>
      </c>
    </row>
    <row r="1806" ht="14.25">
      <c r="A1806" s="3" t="s">
        <v>878</v>
      </c>
      <c r="B1806" s="3" t="s">
        <v>1033</v>
      </c>
      <c r="C1806" s="3" t="s">
        <v>1334</v>
      </c>
      <c r="D1806" s="3" t="s">
        <v>159</v>
      </c>
      <c r="E1806" s="3" t="s">
        <v>107</v>
      </c>
      <c r="F1806" s="3" t="s">
        <v>19</v>
      </c>
      <c r="G1806" s="4">
        <v>660904</v>
      </c>
      <c r="H1806" s="4">
        <v>17326200</v>
      </c>
      <c r="I1806" s="3" t="s">
        <v>47</v>
      </c>
      <c r="J1806" s="4">
        <v>72</v>
      </c>
      <c r="K1806" s="3" t="s">
        <v>21</v>
      </c>
      <c r="L1806" s="4">
        <v>1920024</v>
      </c>
      <c r="M1806" s="1">
        <f>O1806*J1806*K1806</f>
        <v>0</v>
      </c>
      <c r="N1806" s="3"/>
      <c r="O1806" s="2">
        <f>L1806/J1806*(1-K1806)</f>
        <v>26667</v>
      </c>
    </row>
    <row r="1807" ht="14.25">
      <c r="A1807" s="3" t="s">
        <v>878</v>
      </c>
      <c r="B1807" s="3" t="s">
        <v>1033</v>
      </c>
      <c r="C1807" s="3" t="s">
        <v>1334</v>
      </c>
      <c r="D1807" s="3" t="s">
        <v>159</v>
      </c>
      <c r="E1807" s="3" t="s">
        <v>107</v>
      </c>
      <c r="F1807" s="3" t="s">
        <v>19</v>
      </c>
      <c r="G1807" s="4">
        <v>660904</v>
      </c>
      <c r="H1807" s="4">
        <v>17326200</v>
      </c>
      <c r="I1807" s="3" t="s">
        <v>298</v>
      </c>
      <c r="J1807" s="4">
        <v>24</v>
      </c>
      <c r="K1807" s="3" t="s">
        <v>21</v>
      </c>
      <c r="L1807" s="4">
        <v>600000</v>
      </c>
      <c r="M1807" s="1">
        <f>O1807*J1807*K1807</f>
        <v>0</v>
      </c>
      <c r="N1807" s="3"/>
      <c r="O1807" s="2">
        <f>L1807/J1807*(1-K1807)</f>
        <v>25000</v>
      </c>
    </row>
    <row r="1808" ht="14.25">
      <c r="A1808" s="3" t="s">
        <v>878</v>
      </c>
      <c r="B1808" s="3" t="s">
        <v>1033</v>
      </c>
      <c r="C1808" s="3" t="s">
        <v>1334</v>
      </c>
      <c r="D1808" s="3" t="s">
        <v>159</v>
      </c>
      <c r="E1808" s="3" t="s">
        <v>107</v>
      </c>
      <c r="F1808" s="3" t="s">
        <v>19</v>
      </c>
      <c r="G1808" s="4">
        <v>660904</v>
      </c>
      <c r="H1808" s="4">
        <v>17326200</v>
      </c>
      <c r="I1808" s="3" t="s">
        <v>44</v>
      </c>
      <c r="J1808" s="4">
        <v>72</v>
      </c>
      <c r="K1808" s="3" t="s">
        <v>21</v>
      </c>
      <c r="L1808" s="4">
        <v>1920024</v>
      </c>
      <c r="M1808" s="1">
        <f>O1808*J1808*K1808</f>
        <v>0</v>
      </c>
      <c r="N1808" s="3"/>
      <c r="O1808" s="2">
        <f>L1808/J1808*(1-K1808)</f>
        <v>26667</v>
      </c>
    </row>
    <row r="1809" ht="14.25">
      <c r="A1809" s="3" t="s">
        <v>878</v>
      </c>
      <c r="B1809" s="3" t="s">
        <v>1033</v>
      </c>
      <c r="C1809" s="3" t="s">
        <v>1334</v>
      </c>
      <c r="D1809" s="3" t="s">
        <v>159</v>
      </c>
      <c r="E1809" s="3" t="s">
        <v>107</v>
      </c>
      <c r="F1809" s="3" t="s">
        <v>19</v>
      </c>
      <c r="G1809" s="4">
        <v>660904</v>
      </c>
      <c r="H1809" s="4">
        <v>17326200</v>
      </c>
      <c r="I1809" s="3" t="s">
        <v>207</v>
      </c>
      <c r="J1809" s="4">
        <v>18</v>
      </c>
      <c r="K1809" s="3" t="s">
        <v>21</v>
      </c>
      <c r="L1809" s="4">
        <v>630000</v>
      </c>
      <c r="M1809" s="1">
        <f>O1809*J1809*K1809</f>
        <v>0</v>
      </c>
      <c r="N1809" s="3"/>
      <c r="O1809" s="2">
        <f>L1809/J1809*(1-K1809)</f>
        <v>35000</v>
      </c>
    </row>
    <row r="1810" ht="14.25">
      <c r="A1810" s="3" t="s">
        <v>878</v>
      </c>
      <c r="B1810" s="3" t="s">
        <v>1033</v>
      </c>
      <c r="C1810" s="3" t="s">
        <v>1334</v>
      </c>
      <c r="D1810" s="3" t="s">
        <v>159</v>
      </c>
      <c r="E1810" s="3" t="s">
        <v>107</v>
      </c>
      <c r="F1810" s="3" t="s">
        <v>19</v>
      </c>
      <c r="G1810" s="4">
        <v>660904</v>
      </c>
      <c r="H1810" s="4">
        <v>17326200</v>
      </c>
      <c r="I1810" s="3" t="s">
        <v>417</v>
      </c>
      <c r="J1810" s="4">
        <v>4</v>
      </c>
      <c r="K1810" s="3" t="s">
        <v>21</v>
      </c>
      <c r="L1810" s="4">
        <v>600000</v>
      </c>
      <c r="M1810" s="1">
        <f>O1810*J1810*K1810</f>
        <v>0</v>
      </c>
      <c r="N1810" s="3"/>
      <c r="O1810" s="2">
        <f>L1810/J1810*(1-K1810)</f>
        <v>150000</v>
      </c>
    </row>
    <row r="1811" ht="14.25">
      <c r="A1811" s="3" t="s">
        <v>878</v>
      </c>
      <c r="B1811" s="3" t="s">
        <v>1033</v>
      </c>
      <c r="C1811" s="3" t="s">
        <v>1335</v>
      </c>
      <c r="D1811" s="3" t="s">
        <v>159</v>
      </c>
      <c r="E1811" s="3" t="s">
        <v>107</v>
      </c>
      <c r="F1811" s="3" t="s">
        <v>19</v>
      </c>
      <c r="G1811" s="4">
        <v>2521816</v>
      </c>
      <c r="H1811" s="4">
        <v>2521816</v>
      </c>
      <c r="I1811" s="3" t="s">
        <v>424</v>
      </c>
      <c r="J1811" s="4">
        <v>48</v>
      </c>
      <c r="K1811" s="3" t="s">
        <v>21</v>
      </c>
      <c r="L1811" s="4">
        <v>1280016</v>
      </c>
      <c r="M1811" s="1">
        <f>O1811*J1811*K1811</f>
        <v>0</v>
      </c>
      <c r="N1811" s="3"/>
      <c r="O1811" s="2">
        <f>L1811/J1811*(1-K1811)</f>
        <v>26667</v>
      </c>
    </row>
    <row r="1812" ht="14.25">
      <c r="A1812" s="3" t="s">
        <v>878</v>
      </c>
      <c r="B1812" s="3" t="s">
        <v>1033</v>
      </c>
      <c r="C1812" s="3" t="s">
        <v>1335</v>
      </c>
      <c r="D1812" s="3" t="s">
        <v>159</v>
      </c>
      <c r="E1812" s="3" t="s">
        <v>107</v>
      </c>
      <c r="F1812" s="3" t="s">
        <v>19</v>
      </c>
      <c r="G1812" s="4">
        <v>2521816</v>
      </c>
      <c r="H1812" s="4">
        <v>2521816</v>
      </c>
      <c r="I1812" s="3" t="s">
        <v>1238</v>
      </c>
      <c r="J1812" s="4">
        <v>1</v>
      </c>
      <c r="K1812" s="3" t="s">
        <v>21</v>
      </c>
      <c r="L1812" s="4">
        <v>474300</v>
      </c>
      <c r="M1812" s="1">
        <f>O1812*J1812*K1812</f>
        <v>0</v>
      </c>
      <c r="N1812" s="3"/>
      <c r="O1812" s="2">
        <f>L1812/J1812*(1-K1812)</f>
        <v>474300</v>
      </c>
    </row>
    <row r="1813" ht="14.25">
      <c r="A1813" s="3" t="s">
        <v>878</v>
      </c>
      <c r="B1813" s="3" t="s">
        <v>1033</v>
      </c>
      <c r="C1813" s="3" t="s">
        <v>1335</v>
      </c>
      <c r="D1813" s="3" t="s">
        <v>159</v>
      </c>
      <c r="E1813" s="3" t="s">
        <v>107</v>
      </c>
      <c r="F1813" s="3" t="s">
        <v>19</v>
      </c>
      <c r="G1813" s="4">
        <v>2521816</v>
      </c>
      <c r="H1813" s="4">
        <v>2521816</v>
      </c>
      <c r="I1813" s="3" t="s">
        <v>124</v>
      </c>
      <c r="J1813" s="4">
        <v>12</v>
      </c>
      <c r="K1813" s="3" t="s">
        <v>21</v>
      </c>
      <c r="L1813" s="4">
        <v>300000</v>
      </c>
      <c r="M1813" s="1">
        <f>O1813*J1813*K1813</f>
        <v>0</v>
      </c>
      <c r="N1813" s="3"/>
      <c r="O1813" s="2">
        <f>L1813/J1813*(1-K1813)</f>
        <v>25000</v>
      </c>
    </row>
    <row r="1814" ht="14.25">
      <c r="A1814" s="3" t="s">
        <v>878</v>
      </c>
      <c r="B1814" s="3" t="s">
        <v>1033</v>
      </c>
      <c r="C1814" s="3" t="s">
        <v>1335</v>
      </c>
      <c r="D1814" s="3" t="s">
        <v>159</v>
      </c>
      <c r="E1814" s="3" t="s">
        <v>107</v>
      </c>
      <c r="F1814" s="3" t="s">
        <v>19</v>
      </c>
      <c r="G1814" s="4">
        <v>2521816</v>
      </c>
      <c r="H1814" s="4">
        <v>2521816</v>
      </c>
      <c r="I1814" s="3" t="s">
        <v>600</v>
      </c>
      <c r="J1814" s="4">
        <v>1</v>
      </c>
      <c r="K1814" s="3" t="s">
        <v>21</v>
      </c>
      <c r="L1814" s="4">
        <v>467500</v>
      </c>
      <c r="M1814" s="1">
        <f>O1814*J1814*K1814</f>
        <v>0</v>
      </c>
      <c r="N1814" s="3"/>
      <c r="O1814" s="2">
        <f>L1814/J1814*(1-K1814)</f>
        <v>467500</v>
      </c>
    </row>
    <row r="1815" ht="14.25">
      <c r="A1815" s="3" t="s">
        <v>1292</v>
      </c>
      <c r="B1815" s="3" t="s">
        <v>1336</v>
      </c>
      <c r="C1815" s="3" t="s">
        <v>1337</v>
      </c>
      <c r="D1815" s="3" t="s">
        <v>17</v>
      </c>
      <c r="E1815" s="3" t="s">
        <v>168</v>
      </c>
      <c r="F1815" s="3" t="s">
        <v>19</v>
      </c>
      <c r="G1815" s="4">
        <v>0</v>
      </c>
      <c r="H1815" s="4">
        <v>1736000</v>
      </c>
      <c r="I1815" s="3" t="s">
        <v>467</v>
      </c>
      <c r="J1815" s="4">
        <v>40</v>
      </c>
      <c r="K1815" s="3" t="s">
        <v>21</v>
      </c>
      <c r="L1815" s="4">
        <v>1340000</v>
      </c>
      <c r="M1815" s="1">
        <f>O1815*J1815*K1815</f>
        <v>0</v>
      </c>
      <c r="N1815" s="3"/>
      <c r="O1815" s="2">
        <f>L1815/J1815*(1-K1815)</f>
        <v>33500</v>
      </c>
    </row>
    <row r="1816" ht="14.25">
      <c r="A1816" s="3" t="s">
        <v>1292</v>
      </c>
      <c r="B1816" s="3" t="s">
        <v>1336</v>
      </c>
      <c r="C1816" s="3" t="s">
        <v>1337</v>
      </c>
      <c r="D1816" s="3" t="s">
        <v>17</v>
      </c>
      <c r="E1816" s="3" t="s">
        <v>168</v>
      </c>
      <c r="F1816" s="3" t="s">
        <v>19</v>
      </c>
      <c r="G1816" s="4">
        <v>0</v>
      </c>
      <c r="H1816" s="4">
        <v>1736000</v>
      </c>
      <c r="I1816" s="3" t="s">
        <v>483</v>
      </c>
      <c r="J1816" s="4">
        <v>12</v>
      </c>
      <c r="K1816" s="3" t="s">
        <v>21</v>
      </c>
      <c r="L1816" s="4">
        <v>396000</v>
      </c>
      <c r="M1816" s="1">
        <f>O1816*J1816*K1816</f>
        <v>0</v>
      </c>
      <c r="N1816" s="3"/>
      <c r="O1816" s="2">
        <f>L1816/J1816*(1-K1816)</f>
        <v>33000</v>
      </c>
    </row>
    <row r="1817" ht="14.25">
      <c r="A1817" s="3" t="s">
        <v>1292</v>
      </c>
      <c r="B1817" s="3" t="s">
        <v>1336</v>
      </c>
      <c r="C1817" s="3" t="s">
        <v>1338</v>
      </c>
      <c r="D1817" s="3" t="s">
        <v>159</v>
      </c>
      <c r="E1817" s="3" t="s">
        <v>43</v>
      </c>
      <c r="F1817" s="3" t="s">
        <v>19</v>
      </c>
      <c r="G1817" s="4">
        <v>17901852</v>
      </c>
      <c r="H1817" s="4">
        <v>17901852</v>
      </c>
      <c r="I1817" s="3" t="s">
        <v>380</v>
      </c>
      <c r="J1817" s="4">
        <v>72</v>
      </c>
      <c r="K1817" s="3" t="s">
        <v>21</v>
      </c>
      <c r="L1817" s="4">
        <v>2304000</v>
      </c>
      <c r="M1817" s="1">
        <f>O1817*J1817*K1817</f>
        <v>0</v>
      </c>
      <c r="N1817" s="3"/>
      <c r="O1817" s="2">
        <f>L1817/J1817*(1-K1817)</f>
        <v>32000</v>
      </c>
    </row>
    <row r="1818" ht="14.25">
      <c r="A1818" s="3" t="s">
        <v>1292</v>
      </c>
      <c r="B1818" s="3" t="s">
        <v>1336</v>
      </c>
      <c r="C1818" s="3" t="s">
        <v>1338</v>
      </c>
      <c r="D1818" s="3" t="s">
        <v>159</v>
      </c>
      <c r="E1818" s="3" t="s">
        <v>43</v>
      </c>
      <c r="F1818" s="3" t="s">
        <v>19</v>
      </c>
      <c r="G1818" s="4">
        <v>17901852</v>
      </c>
      <c r="H1818" s="4">
        <v>17901852</v>
      </c>
      <c r="I1818" s="3" t="s">
        <v>295</v>
      </c>
      <c r="J1818" s="4">
        <v>72</v>
      </c>
      <c r="K1818" s="3" t="s">
        <v>21</v>
      </c>
      <c r="L1818" s="4">
        <v>2688048</v>
      </c>
      <c r="M1818" s="1">
        <f>O1818*J1818*K1818</f>
        <v>0</v>
      </c>
      <c r="N1818" s="3"/>
      <c r="O1818" s="2">
        <f>L1818/J1818*(1-K1818)</f>
        <v>37334</v>
      </c>
    </row>
    <row r="1819" ht="14.25">
      <c r="A1819" s="3" t="s">
        <v>1292</v>
      </c>
      <c r="B1819" s="3" t="s">
        <v>1336</v>
      </c>
      <c r="C1819" s="3" t="s">
        <v>1338</v>
      </c>
      <c r="D1819" s="3" t="s">
        <v>159</v>
      </c>
      <c r="E1819" s="3" t="s">
        <v>43</v>
      </c>
      <c r="F1819" s="3" t="s">
        <v>19</v>
      </c>
      <c r="G1819" s="4">
        <v>17901852</v>
      </c>
      <c r="H1819" s="4">
        <v>17901852</v>
      </c>
      <c r="I1819" s="3" t="s">
        <v>47</v>
      </c>
      <c r="J1819" s="4">
        <v>72</v>
      </c>
      <c r="K1819" s="3" t="s">
        <v>21</v>
      </c>
      <c r="L1819" s="4">
        <v>2688048</v>
      </c>
      <c r="M1819" s="1">
        <f>O1819*J1819*K1819</f>
        <v>0</v>
      </c>
      <c r="N1819" s="3"/>
      <c r="O1819" s="2">
        <f>L1819/J1819*(1-K1819)</f>
        <v>37334</v>
      </c>
    </row>
    <row r="1820" ht="14.25">
      <c r="A1820" s="3" t="s">
        <v>1292</v>
      </c>
      <c r="B1820" s="3" t="s">
        <v>1336</v>
      </c>
      <c r="C1820" s="3" t="s">
        <v>1338</v>
      </c>
      <c r="D1820" s="3" t="s">
        <v>159</v>
      </c>
      <c r="E1820" s="3" t="s">
        <v>43</v>
      </c>
      <c r="F1820" s="3" t="s">
        <v>19</v>
      </c>
      <c r="G1820" s="4">
        <v>17901852</v>
      </c>
      <c r="H1820" s="4">
        <v>17901852</v>
      </c>
      <c r="I1820" s="3" t="s">
        <v>45</v>
      </c>
      <c r="J1820" s="4">
        <v>72</v>
      </c>
      <c r="K1820" s="3" t="s">
        <v>21</v>
      </c>
      <c r="L1820" s="4">
        <v>2304000</v>
      </c>
      <c r="M1820" s="1">
        <f>O1820*J1820*K1820</f>
        <v>0</v>
      </c>
      <c r="N1820" s="3"/>
      <c r="O1820" s="2">
        <f>L1820/J1820*(1-K1820)</f>
        <v>32000</v>
      </c>
    </row>
    <row r="1821" ht="14.25">
      <c r="A1821" s="3" t="s">
        <v>1292</v>
      </c>
      <c r="B1821" s="3" t="s">
        <v>1336</v>
      </c>
      <c r="C1821" s="3" t="s">
        <v>1338</v>
      </c>
      <c r="D1821" s="3" t="s">
        <v>159</v>
      </c>
      <c r="E1821" s="3" t="s">
        <v>43</v>
      </c>
      <c r="F1821" s="3" t="s">
        <v>19</v>
      </c>
      <c r="G1821" s="4">
        <v>17901852</v>
      </c>
      <c r="H1821" s="4">
        <v>17901852</v>
      </c>
      <c r="I1821" s="3" t="s">
        <v>419</v>
      </c>
      <c r="J1821" s="4">
        <v>72</v>
      </c>
      <c r="K1821" s="3" t="s">
        <v>21</v>
      </c>
      <c r="L1821" s="4">
        <v>2616768</v>
      </c>
      <c r="M1821" s="1">
        <f>O1821*J1821*K1821</f>
        <v>0</v>
      </c>
      <c r="N1821" s="3"/>
      <c r="O1821" s="2">
        <f>L1821/J1821*(1-K1821)</f>
        <v>36344</v>
      </c>
    </row>
    <row r="1822" ht="14.25">
      <c r="A1822" s="3" t="s">
        <v>1292</v>
      </c>
      <c r="B1822" s="3" t="s">
        <v>1336</v>
      </c>
      <c r="C1822" s="3" t="s">
        <v>1338</v>
      </c>
      <c r="D1822" s="3" t="s">
        <v>159</v>
      </c>
      <c r="E1822" s="3" t="s">
        <v>43</v>
      </c>
      <c r="F1822" s="3" t="s">
        <v>19</v>
      </c>
      <c r="G1822" s="4">
        <v>17901852</v>
      </c>
      <c r="H1822" s="4">
        <v>17901852</v>
      </c>
      <c r="I1822" s="3" t="s">
        <v>46</v>
      </c>
      <c r="J1822" s="4">
        <v>36</v>
      </c>
      <c r="K1822" s="3" t="s">
        <v>21</v>
      </c>
      <c r="L1822" s="4">
        <v>1275012</v>
      </c>
      <c r="M1822" s="1">
        <f>O1822*J1822*K1822</f>
        <v>0</v>
      </c>
      <c r="N1822" s="3"/>
      <c r="O1822" s="2">
        <f>L1822/J1822*(1-K1822)</f>
        <v>35417</v>
      </c>
    </row>
    <row r="1823" ht="14.25">
      <c r="A1823" s="3" t="s">
        <v>1292</v>
      </c>
      <c r="B1823" s="3" t="s">
        <v>1336</v>
      </c>
      <c r="C1823" s="3" t="s">
        <v>1338</v>
      </c>
      <c r="D1823" s="3" t="s">
        <v>159</v>
      </c>
      <c r="E1823" s="3" t="s">
        <v>43</v>
      </c>
      <c r="F1823" s="3" t="s">
        <v>19</v>
      </c>
      <c r="G1823" s="4">
        <v>17901852</v>
      </c>
      <c r="H1823" s="4">
        <v>17901852</v>
      </c>
      <c r="I1823" s="3" t="s">
        <v>113</v>
      </c>
      <c r="J1823" s="4">
        <v>36</v>
      </c>
      <c r="K1823" s="3" t="s">
        <v>21</v>
      </c>
      <c r="L1823" s="4">
        <v>1276956</v>
      </c>
      <c r="M1823" s="1">
        <f>O1823*J1823*K1823</f>
        <v>0</v>
      </c>
      <c r="N1823" s="3"/>
      <c r="O1823" s="2">
        <f>L1823/J1823*(1-K1823)</f>
        <v>35471</v>
      </c>
    </row>
    <row r="1824" ht="14.25">
      <c r="A1824" s="3" t="s">
        <v>1292</v>
      </c>
      <c r="B1824" s="3" t="s">
        <v>1336</v>
      </c>
      <c r="C1824" s="3" t="s">
        <v>1338</v>
      </c>
      <c r="D1824" s="3" t="s">
        <v>159</v>
      </c>
      <c r="E1824" s="3" t="s">
        <v>43</v>
      </c>
      <c r="F1824" s="3" t="s">
        <v>19</v>
      </c>
      <c r="G1824" s="4">
        <v>17901852</v>
      </c>
      <c r="H1824" s="4">
        <v>17901852</v>
      </c>
      <c r="I1824" s="3" t="s">
        <v>483</v>
      </c>
      <c r="J1824" s="4">
        <v>30</v>
      </c>
      <c r="K1824" s="3" t="s">
        <v>21</v>
      </c>
      <c r="L1824" s="4">
        <v>1075020</v>
      </c>
      <c r="M1824" s="1">
        <f>O1824*J1824*K1824</f>
        <v>0</v>
      </c>
      <c r="N1824" s="3"/>
      <c r="O1824" s="2">
        <f>L1824/J1824*(1-K1824)</f>
        <v>35834</v>
      </c>
    </row>
    <row r="1825" ht="14.25">
      <c r="A1825" s="3" t="s">
        <v>1292</v>
      </c>
      <c r="B1825" s="3" t="s">
        <v>1336</v>
      </c>
      <c r="C1825" s="3" t="s">
        <v>1338</v>
      </c>
      <c r="D1825" s="3" t="s">
        <v>159</v>
      </c>
      <c r="E1825" s="3" t="s">
        <v>43</v>
      </c>
      <c r="F1825" s="3" t="s">
        <v>19</v>
      </c>
      <c r="G1825" s="4">
        <v>17901852</v>
      </c>
      <c r="H1825" s="4">
        <v>17901852</v>
      </c>
      <c r="I1825" s="3" t="s">
        <v>48</v>
      </c>
      <c r="J1825" s="4">
        <v>24</v>
      </c>
      <c r="K1825" s="3" t="s">
        <v>21</v>
      </c>
      <c r="L1825" s="4">
        <v>729984</v>
      </c>
      <c r="M1825" s="1">
        <f>O1825*J1825*K1825</f>
        <v>0</v>
      </c>
      <c r="N1825" s="3"/>
      <c r="O1825" s="2">
        <f>L1825/J1825*(1-K1825)</f>
        <v>30416</v>
      </c>
    </row>
    <row r="1826" ht="14.25">
      <c r="A1826" s="3" t="s">
        <v>1292</v>
      </c>
      <c r="B1826" s="3" t="s">
        <v>1336</v>
      </c>
      <c r="C1826" s="3" t="s">
        <v>1338</v>
      </c>
      <c r="D1826" s="3" t="s">
        <v>159</v>
      </c>
      <c r="E1826" s="3" t="s">
        <v>43</v>
      </c>
      <c r="F1826" s="3" t="s">
        <v>19</v>
      </c>
      <c r="G1826" s="4">
        <v>17901852</v>
      </c>
      <c r="H1826" s="4">
        <v>17901852</v>
      </c>
      <c r="I1826" s="3" t="s">
        <v>367</v>
      </c>
      <c r="J1826" s="4">
        <v>24</v>
      </c>
      <c r="K1826" s="3" t="s">
        <v>21</v>
      </c>
      <c r="L1826" s="4">
        <v>944016</v>
      </c>
      <c r="M1826" s="1">
        <f>O1826*J1826*K1826</f>
        <v>0</v>
      </c>
      <c r="N1826" s="3"/>
      <c r="O1826" s="2">
        <f>L1826/J1826*(1-K1826)</f>
        <v>39334</v>
      </c>
    </row>
    <row r="1827" ht="14.25">
      <c r="A1827" s="3" t="s">
        <v>1292</v>
      </c>
      <c r="B1827" s="3" t="s">
        <v>1292</v>
      </c>
      <c r="C1827" s="3" t="s">
        <v>1339</v>
      </c>
      <c r="D1827" s="3" t="s">
        <v>17</v>
      </c>
      <c r="E1827" s="3" t="s">
        <v>174</v>
      </c>
      <c r="F1827" s="3" t="s">
        <v>19</v>
      </c>
      <c r="G1827" s="4">
        <v>0</v>
      </c>
      <c r="H1827" s="4">
        <v>19576002</v>
      </c>
      <c r="I1827" s="3" t="s">
        <v>261</v>
      </c>
      <c r="J1827" s="4">
        <v>12</v>
      </c>
      <c r="K1827" s="3" t="s">
        <v>21</v>
      </c>
      <c r="L1827" s="4">
        <v>796176</v>
      </c>
      <c r="M1827" s="1">
        <f>O1827*J1827*K1827</f>
        <v>0</v>
      </c>
      <c r="N1827" s="3"/>
      <c r="O1827" s="2">
        <f>L1827/J1827*(1-K1827)</f>
        <v>66348</v>
      </c>
    </row>
    <row r="1828" ht="14.25">
      <c r="A1828" s="3" t="s">
        <v>1292</v>
      </c>
      <c r="B1828" s="3" t="s">
        <v>1292</v>
      </c>
      <c r="C1828" s="3" t="s">
        <v>1339</v>
      </c>
      <c r="D1828" s="3" t="s">
        <v>17</v>
      </c>
      <c r="E1828" s="3" t="s">
        <v>174</v>
      </c>
      <c r="F1828" s="3" t="s">
        <v>19</v>
      </c>
      <c r="G1828" s="4">
        <v>0</v>
      </c>
      <c r="H1828" s="4">
        <v>19576002</v>
      </c>
      <c r="I1828" s="3" t="s">
        <v>223</v>
      </c>
      <c r="J1828" s="4">
        <v>12</v>
      </c>
      <c r="K1828" s="3" t="s">
        <v>21</v>
      </c>
      <c r="L1828" s="4">
        <v>741600</v>
      </c>
      <c r="M1828" s="1">
        <f>O1828*J1828*K1828</f>
        <v>0</v>
      </c>
      <c r="N1828" s="3"/>
      <c r="O1828" s="2">
        <f>L1828/J1828*(1-K1828)</f>
        <v>61800</v>
      </c>
    </row>
    <row r="1829" ht="14.25">
      <c r="A1829" s="3" t="s">
        <v>1292</v>
      </c>
      <c r="B1829" s="3" t="s">
        <v>1292</v>
      </c>
      <c r="C1829" s="3" t="s">
        <v>1339</v>
      </c>
      <c r="D1829" s="3" t="s">
        <v>17</v>
      </c>
      <c r="E1829" s="3" t="s">
        <v>174</v>
      </c>
      <c r="F1829" s="3" t="s">
        <v>19</v>
      </c>
      <c r="G1829" s="4">
        <v>0</v>
      </c>
      <c r="H1829" s="4">
        <v>19576002</v>
      </c>
      <c r="I1829" s="3" t="s">
        <v>198</v>
      </c>
      <c r="J1829" s="4">
        <v>18</v>
      </c>
      <c r="K1829" s="3" t="s">
        <v>21</v>
      </c>
      <c r="L1829" s="4">
        <v>2628180</v>
      </c>
      <c r="M1829" s="1">
        <f>O1829*J1829*K1829</f>
        <v>0</v>
      </c>
      <c r="N1829" s="3"/>
      <c r="O1829" s="2">
        <f>L1829/J1829*(1-K1829)</f>
        <v>146010</v>
      </c>
    </row>
    <row r="1830" ht="14.25">
      <c r="A1830" s="3" t="s">
        <v>1292</v>
      </c>
      <c r="B1830" s="3" t="s">
        <v>1292</v>
      </c>
      <c r="C1830" s="3" t="s">
        <v>1339</v>
      </c>
      <c r="D1830" s="3" t="s">
        <v>17</v>
      </c>
      <c r="E1830" s="3" t="s">
        <v>174</v>
      </c>
      <c r="F1830" s="3" t="s">
        <v>19</v>
      </c>
      <c r="G1830" s="4">
        <v>0</v>
      </c>
      <c r="H1830" s="4">
        <v>19576002</v>
      </c>
      <c r="I1830" s="3" t="s">
        <v>210</v>
      </c>
      <c r="J1830" s="4">
        <v>18</v>
      </c>
      <c r="K1830" s="3" t="s">
        <v>21</v>
      </c>
      <c r="L1830" s="4">
        <v>759996</v>
      </c>
      <c r="M1830" s="1">
        <f>O1830*J1830*K1830</f>
        <v>0</v>
      </c>
      <c r="N1830" s="3"/>
      <c r="O1830" s="2">
        <f>L1830/J1830*(1-K1830)</f>
        <v>42222</v>
      </c>
    </row>
    <row r="1831" ht="14.25">
      <c r="A1831" s="3" t="s">
        <v>1292</v>
      </c>
      <c r="B1831" s="3" t="s">
        <v>1292</v>
      </c>
      <c r="C1831" s="3" t="s">
        <v>1339</v>
      </c>
      <c r="D1831" s="3" t="s">
        <v>17</v>
      </c>
      <c r="E1831" s="3" t="s">
        <v>174</v>
      </c>
      <c r="F1831" s="3" t="s">
        <v>19</v>
      </c>
      <c r="G1831" s="4">
        <v>0</v>
      </c>
      <c r="H1831" s="4">
        <v>19576002</v>
      </c>
      <c r="I1831" s="3" t="s">
        <v>38</v>
      </c>
      <c r="J1831" s="4">
        <v>18</v>
      </c>
      <c r="K1831" s="3" t="s">
        <v>21</v>
      </c>
      <c r="L1831" s="4">
        <v>2834082</v>
      </c>
      <c r="M1831" s="1">
        <f>O1831*J1831*K1831</f>
        <v>0</v>
      </c>
      <c r="N1831" s="3"/>
      <c r="O1831" s="2">
        <f>L1831/J1831*(1-K1831)</f>
        <v>157449</v>
      </c>
    </row>
    <row r="1832" ht="14.25">
      <c r="A1832" s="3" t="s">
        <v>1292</v>
      </c>
      <c r="B1832" s="3" t="s">
        <v>1292</v>
      </c>
      <c r="C1832" s="3" t="s">
        <v>1339</v>
      </c>
      <c r="D1832" s="3" t="s">
        <v>17</v>
      </c>
      <c r="E1832" s="3" t="s">
        <v>174</v>
      </c>
      <c r="F1832" s="3" t="s">
        <v>19</v>
      </c>
      <c r="G1832" s="4">
        <v>0</v>
      </c>
      <c r="H1832" s="4">
        <v>19576002</v>
      </c>
      <c r="I1832" s="3" t="s">
        <v>66</v>
      </c>
      <c r="J1832" s="4">
        <v>8</v>
      </c>
      <c r="K1832" s="3" t="s">
        <v>21</v>
      </c>
      <c r="L1832" s="4">
        <v>3315264</v>
      </c>
      <c r="M1832" s="1">
        <f>O1832*J1832*K1832</f>
        <v>0</v>
      </c>
      <c r="N1832" s="3"/>
      <c r="O1832" s="2">
        <f>L1832/J1832*(1-K1832)</f>
        <v>414408</v>
      </c>
    </row>
    <row r="1833" ht="14.25">
      <c r="A1833" s="3" t="s">
        <v>1292</v>
      </c>
      <c r="B1833" s="3" t="s">
        <v>1292</v>
      </c>
      <c r="C1833" s="3" t="s">
        <v>1339</v>
      </c>
      <c r="D1833" s="3" t="s">
        <v>17</v>
      </c>
      <c r="E1833" s="3" t="s">
        <v>174</v>
      </c>
      <c r="F1833" s="3" t="s">
        <v>19</v>
      </c>
      <c r="G1833" s="4">
        <v>0</v>
      </c>
      <c r="H1833" s="4">
        <v>19576002</v>
      </c>
      <c r="I1833" s="3" t="s">
        <v>187</v>
      </c>
      <c r="J1833" s="4">
        <v>120</v>
      </c>
      <c r="K1833" s="3" t="s">
        <v>21</v>
      </c>
      <c r="L1833" s="4">
        <v>5513040</v>
      </c>
      <c r="M1833" s="1">
        <f>O1833*J1833*K1833</f>
        <v>0</v>
      </c>
      <c r="N1833" s="3"/>
      <c r="O1833" s="2">
        <f>L1833/J1833*(1-K1833)</f>
        <v>45942</v>
      </c>
    </row>
    <row r="1834" ht="14.25">
      <c r="A1834" s="3" t="s">
        <v>1292</v>
      </c>
      <c r="B1834" s="3" t="s">
        <v>1292</v>
      </c>
      <c r="C1834" s="3" t="s">
        <v>1339</v>
      </c>
      <c r="D1834" s="3" t="s">
        <v>17</v>
      </c>
      <c r="E1834" s="3" t="s">
        <v>174</v>
      </c>
      <c r="F1834" s="3" t="s">
        <v>19</v>
      </c>
      <c r="G1834" s="4">
        <v>0</v>
      </c>
      <c r="H1834" s="4">
        <v>19576002</v>
      </c>
      <c r="I1834" s="3" t="s">
        <v>1286</v>
      </c>
      <c r="J1834" s="4">
        <v>12</v>
      </c>
      <c r="K1834" s="3" t="s">
        <v>21</v>
      </c>
      <c r="L1834" s="4">
        <v>2987664</v>
      </c>
      <c r="M1834" s="1">
        <f>O1834*J1834*K1834</f>
        <v>0</v>
      </c>
      <c r="N1834" s="3"/>
      <c r="O1834" s="2">
        <f>L1834/J1834*(1-K1834)</f>
        <v>248972</v>
      </c>
    </row>
    <row r="1835" ht="14.25">
      <c r="A1835" s="3" t="s">
        <v>1292</v>
      </c>
      <c r="B1835" s="3" t="s">
        <v>1340</v>
      </c>
      <c r="C1835" s="3" t="s">
        <v>1341</v>
      </c>
      <c r="D1835" s="3" t="s">
        <v>17</v>
      </c>
      <c r="E1835" s="3" t="s">
        <v>23</v>
      </c>
      <c r="F1835" s="3" t="s">
        <v>19</v>
      </c>
      <c r="G1835" s="4">
        <v>0</v>
      </c>
      <c r="H1835" s="4">
        <v>450000</v>
      </c>
      <c r="I1835" s="3" t="s">
        <v>343</v>
      </c>
      <c r="J1835" s="4">
        <v>1</v>
      </c>
      <c r="K1835" s="3" t="s">
        <v>21</v>
      </c>
      <c r="L1835" s="4">
        <v>450000</v>
      </c>
      <c r="M1835" s="1">
        <f>O1835*J1835*K1835</f>
        <v>0</v>
      </c>
      <c r="N1835" s="3"/>
      <c r="O1835" s="2">
        <f>L1835/J1835*(1-K1835)</f>
        <v>450000</v>
      </c>
    </row>
    <row r="1836" ht="14.25">
      <c r="A1836" s="3" t="s">
        <v>1292</v>
      </c>
      <c r="B1836" s="3" t="s">
        <v>1336</v>
      </c>
      <c r="C1836" s="3" t="s">
        <v>1342</v>
      </c>
      <c r="D1836" s="3" t="s">
        <v>17</v>
      </c>
      <c r="E1836" s="3" t="s">
        <v>34</v>
      </c>
      <c r="F1836" s="3" t="s">
        <v>19</v>
      </c>
      <c r="G1836" s="4">
        <v>0</v>
      </c>
      <c r="H1836" s="4">
        <v>13698460</v>
      </c>
      <c r="I1836" s="3" t="s">
        <v>417</v>
      </c>
      <c r="J1836" s="4">
        <v>4</v>
      </c>
      <c r="K1836" s="3" t="s">
        <v>21</v>
      </c>
      <c r="L1836" s="4">
        <v>650000</v>
      </c>
      <c r="M1836" s="1">
        <f>O1836*J1836*K1836</f>
        <v>0</v>
      </c>
      <c r="N1836" s="3"/>
      <c r="O1836" s="2">
        <f>L1836/J1836*(1-K1836)</f>
        <v>162500</v>
      </c>
    </row>
    <row r="1837" ht="14.25">
      <c r="A1837" s="3" t="s">
        <v>1292</v>
      </c>
      <c r="B1837" s="3" t="s">
        <v>1336</v>
      </c>
      <c r="C1837" s="3" t="s">
        <v>1342</v>
      </c>
      <c r="D1837" s="3" t="s">
        <v>17</v>
      </c>
      <c r="E1837" s="3" t="s">
        <v>34</v>
      </c>
      <c r="F1837" s="3" t="s">
        <v>19</v>
      </c>
      <c r="G1837" s="4">
        <v>0</v>
      </c>
      <c r="H1837" s="4">
        <v>13698460</v>
      </c>
      <c r="I1837" s="3" t="s">
        <v>504</v>
      </c>
      <c r="J1837" s="4">
        <v>6</v>
      </c>
      <c r="K1837" s="3" t="s">
        <v>21</v>
      </c>
      <c r="L1837" s="4">
        <v>798000</v>
      </c>
      <c r="M1837" s="1">
        <f>O1837*J1837*K1837</f>
        <v>0</v>
      </c>
      <c r="N1837" s="3"/>
      <c r="O1837" s="2">
        <f>L1837/J1837*(1-K1837)</f>
        <v>133000</v>
      </c>
    </row>
    <row r="1838" ht="14.25">
      <c r="A1838" s="3" t="s">
        <v>1292</v>
      </c>
      <c r="B1838" s="3" t="s">
        <v>1336</v>
      </c>
      <c r="C1838" s="3" t="s">
        <v>1342</v>
      </c>
      <c r="D1838" s="3" t="s">
        <v>17</v>
      </c>
      <c r="E1838" s="3" t="s">
        <v>34</v>
      </c>
      <c r="F1838" s="3" t="s">
        <v>19</v>
      </c>
      <c r="G1838" s="4">
        <v>0</v>
      </c>
      <c r="H1838" s="4">
        <v>13698460</v>
      </c>
      <c r="I1838" s="3" t="s">
        <v>1286</v>
      </c>
      <c r="J1838" s="4">
        <v>3</v>
      </c>
      <c r="K1838" s="3" t="s">
        <v>21</v>
      </c>
      <c r="L1838" s="4">
        <v>746916</v>
      </c>
      <c r="M1838" s="1">
        <f>O1838*J1838*K1838</f>
        <v>0</v>
      </c>
      <c r="N1838" s="3"/>
      <c r="O1838" s="2">
        <f>L1838/J1838*(1-K1838)</f>
        <v>248972</v>
      </c>
    </row>
    <row r="1839" ht="14.25">
      <c r="A1839" s="3" t="s">
        <v>1292</v>
      </c>
      <c r="B1839" s="3" t="s">
        <v>1336</v>
      </c>
      <c r="C1839" s="3" t="s">
        <v>1342</v>
      </c>
      <c r="D1839" s="3" t="s">
        <v>17</v>
      </c>
      <c r="E1839" s="3" t="s">
        <v>34</v>
      </c>
      <c r="F1839" s="3" t="s">
        <v>19</v>
      </c>
      <c r="G1839" s="4">
        <v>0</v>
      </c>
      <c r="H1839" s="4">
        <v>13698460</v>
      </c>
      <c r="I1839" s="3" t="s">
        <v>356</v>
      </c>
      <c r="J1839" s="4">
        <v>4</v>
      </c>
      <c r="K1839" s="3" t="s">
        <v>21</v>
      </c>
      <c r="L1839" s="4">
        <v>949660</v>
      </c>
      <c r="M1839" s="1">
        <f>O1839*J1839*K1839</f>
        <v>0</v>
      </c>
      <c r="N1839" s="3"/>
      <c r="O1839" s="2">
        <f>L1839/J1839*(1-K1839)</f>
        <v>237415</v>
      </c>
    </row>
    <row r="1840" ht="14.25">
      <c r="A1840" s="3" t="s">
        <v>1292</v>
      </c>
      <c r="B1840" s="3" t="s">
        <v>1336</v>
      </c>
      <c r="C1840" s="3" t="s">
        <v>1342</v>
      </c>
      <c r="D1840" s="3" t="s">
        <v>17</v>
      </c>
      <c r="E1840" s="3" t="s">
        <v>34</v>
      </c>
      <c r="F1840" s="3" t="s">
        <v>19</v>
      </c>
      <c r="G1840" s="4">
        <v>0</v>
      </c>
      <c r="H1840" s="4">
        <v>13698460</v>
      </c>
      <c r="I1840" s="3" t="s">
        <v>591</v>
      </c>
      <c r="J1840" s="4">
        <v>1</v>
      </c>
      <c r="K1840" s="3" t="s">
        <v>21</v>
      </c>
      <c r="L1840" s="4">
        <v>245000</v>
      </c>
      <c r="M1840" s="1">
        <f>O1840*J1840*K1840</f>
        <v>0</v>
      </c>
      <c r="N1840" s="3"/>
      <c r="O1840" s="2">
        <f>L1840/J1840*(1-K1840)</f>
        <v>245000</v>
      </c>
    </row>
    <row r="1841" ht="14.25">
      <c r="A1841" s="3" t="s">
        <v>1292</v>
      </c>
      <c r="B1841" s="3" t="s">
        <v>1336</v>
      </c>
      <c r="C1841" s="3" t="s">
        <v>1342</v>
      </c>
      <c r="D1841" s="3" t="s">
        <v>17</v>
      </c>
      <c r="E1841" s="3" t="s">
        <v>34</v>
      </c>
      <c r="F1841" s="3" t="s">
        <v>19</v>
      </c>
      <c r="G1841" s="4">
        <v>0</v>
      </c>
      <c r="H1841" s="4">
        <v>13698460</v>
      </c>
      <c r="I1841" s="3" t="s">
        <v>201</v>
      </c>
      <c r="J1841" s="4">
        <v>4</v>
      </c>
      <c r="K1841" s="3" t="s">
        <v>21</v>
      </c>
      <c r="L1841" s="4">
        <v>123740</v>
      </c>
      <c r="M1841" s="1">
        <f>O1841*J1841*K1841</f>
        <v>0</v>
      </c>
      <c r="N1841" s="3"/>
      <c r="O1841" s="2">
        <f>L1841/J1841*(1-K1841)</f>
        <v>30935</v>
      </c>
    </row>
    <row r="1842" ht="14.25">
      <c r="A1842" s="3" t="s">
        <v>1292</v>
      </c>
      <c r="B1842" s="3" t="s">
        <v>1336</v>
      </c>
      <c r="C1842" s="3" t="s">
        <v>1342</v>
      </c>
      <c r="D1842" s="3" t="s">
        <v>17</v>
      </c>
      <c r="E1842" s="3" t="s">
        <v>34</v>
      </c>
      <c r="F1842" s="3" t="s">
        <v>19</v>
      </c>
      <c r="G1842" s="4">
        <v>0</v>
      </c>
      <c r="H1842" s="4">
        <v>13698460</v>
      </c>
      <c r="I1842" s="3" t="s">
        <v>210</v>
      </c>
      <c r="J1842" s="4">
        <v>6</v>
      </c>
      <c r="K1842" s="3" t="s">
        <v>275</v>
      </c>
      <c r="L1842" s="4">
        <v>272400</v>
      </c>
      <c r="M1842" s="1">
        <f>O1842*J1842*K1842</f>
        <v>20048.639999999999</v>
      </c>
      <c r="N1842" s="3"/>
      <c r="O1842" s="2">
        <f>L1842/J1842*(1-K1842)</f>
        <v>41768</v>
      </c>
    </row>
    <row r="1843" ht="14.25">
      <c r="A1843" s="3" t="s">
        <v>1292</v>
      </c>
      <c r="B1843" s="3" t="s">
        <v>1336</v>
      </c>
      <c r="C1843" s="3" t="s">
        <v>1342</v>
      </c>
      <c r="D1843" s="3" t="s">
        <v>17</v>
      </c>
      <c r="E1843" s="3" t="s">
        <v>34</v>
      </c>
      <c r="F1843" s="3" t="s">
        <v>19</v>
      </c>
      <c r="G1843" s="4">
        <v>0</v>
      </c>
      <c r="H1843" s="4">
        <v>13698460</v>
      </c>
      <c r="I1843" s="3" t="s">
        <v>38</v>
      </c>
      <c r="J1843" s="4">
        <v>6</v>
      </c>
      <c r="K1843" s="3" t="s">
        <v>275</v>
      </c>
      <c r="L1843" s="4">
        <v>1015800</v>
      </c>
      <c r="M1843" s="1">
        <f>O1843*J1843*K1843</f>
        <v>74762.880000000005</v>
      </c>
      <c r="N1843" s="3"/>
      <c r="O1843" s="2">
        <f>L1843/J1843*(1-K1843)</f>
        <v>155756</v>
      </c>
    </row>
    <row r="1844" ht="14.25">
      <c r="A1844" s="3" t="s">
        <v>1292</v>
      </c>
      <c r="B1844" s="3" t="s">
        <v>1336</v>
      </c>
      <c r="C1844" s="3" t="s">
        <v>1342</v>
      </c>
      <c r="D1844" s="3" t="s">
        <v>17</v>
      </c>
      <c r="E1844" s="3" t="s">
        <v>34</v>
      </c>
      <c r="F1844" s="3" t="s">
        <v>19</v>
      </c>
      <c r="G1844" s="4">
        <v>0</v>
      </c>
      <c r="H1844" s="4">
        <v>13698460</v>
      </c>
      <c r="I1844" s="3" t="s">
        <v>29</v>
      </c>
      <c r="J1844" s="4">
        <v>5</v>
      </c>
      <c r="K1844" s="3" t="s">
        <v>21</v>
      </c>
      <c r="L1844" s="4">
        <v>2400000</v>
      </c>
      <c r="M1844" s="1">
        <f>O1844*J1844*K1844</f>
        <v>0</v>
      </c>
      <c r="N1844" s="3"/>
      <c r="O1844" s="2">
        <f>L1844/J1844*(1-K1844)</f>
        <v>480000</v>
      </c>
    </row>
    <row r="1845" ht="14.25">
      <c r="A1845" s="3" t="s">
        <v>1292</v>
      </c>
      <c r="B1845" s="3" t="s">
        <v>1336</v>
      </c>
      <c r="C1845" s="3" t="s">
        <v>1342</v>
      </c>
      <c r="D1845" s="3" t="s">
        <v>17</v>
      </c>
      <c r="E1845" s="3" t="s">
        <v>34</v>
      </c>
      <c r="F1845" s="3" t="s">
        <v>19</v>
      </c>
      <c r="G1845" s="4">
        <v>0</v>
      </c>
      <c r="H1845" s="4">
        <v>13698460</v>
      </c>
      <c r="I1845" s="3" t="s">
        <v>39</v>
      </c>
      <c r="J1845" s="4">
        <v>2</v>
      </c>
      <c r="K1845" s="3" t="s">
        <v>21</v>
      </c>
      <c r="L1845" s="4">
        <v>6600000</v>
      </c>
      <c r="M1845" s="1">
        <f>O1845*J1845*K1845</f>
        <v>0</v>
      </c>
      <c r="N1845" s="3"/>
      <c r="O1845" s="2">
        <f>L1845/J1845*(1-K1845)</f>
        <v>3300000</v>
      </c>
    </row>
    <row r="1846" ht="14.25">
      <c r="A1846" s="3" t="s">
        <v>1292</v>
      </c>
      <c r="B1846" s="3" t="s">
        <v>1292</v>
      </c>
      <c r="C1846" s="3" t="s">
        <v>1343</v>
      </c>
      <c r="D1846" s="3" t="s">
        <v>17</v>
      </c>
      <c r="E1846" s="3" t="s">
        <v>1196</v>
      </c>
      <c r="F1846" s="3" t="s">
        <v>19</v>
      </c>
      <c r="G1846" s="4">
        <v>0</v>
      </c>
      <c r="H1846" s="4">
        <v>3300000</v>
      </c>
      <c r="I1846" s="3" t="s">
        <v>39</v>
      </c>
      <c r="J1846" s="4">
        <v>1</v>
      </c>
      <c r="K1846" s="3" t="s">
        <v>21</v>
      </c>
      <c r="L1846" s="4">
        <v>3300000</v>
      </c>
      <c r="M1846" s="1">
        <f>O1846*J1846*K1846</f>
        <v>0</v>
      </c>
      <c r="N1846" s="3"/>
      <c r="O1846" s="2">
        <f>L1846/J1846*(1-K1846)</f>
        <v>3300000</v>
      </c>
    </row>
    <row r="1847" ht="14.25">
      <c r="A1847" s="3" t="s">
        <v>1292</v>
      </c>
      <c r="B1847" s="3" t="s">
        <v>1292</v>
      </c>
      <c r="C1847" s="3" t="s">
        <v>1344</v>
      </c>
      <c r="D1847" s="3" t="s">
        <v>17</v>
      </c>
      <c r="E1847" s="3" t="s">
        <v>513</v>
      </c>
      <c r="F1847" s="3" t="s">
        <v>19</v>
      </c>
      <c r="G1847" s="4">
        <v>0</v>
      </c>
      <c r="H1847" s="4">
        <v>11977208</v>
      </c>
      <c r="I1847" s="3" t="s">
        <v>101</v>
      </c>
      <c r="J1847" s="4">
        <v>4</v>
      </c>
      <c r="K1847" s="3" t="s">
        <v>21</v>
      </c>
      <c r="L1847" s="4">
        <v>8160000</v>
      </c>
      <c r="M1847" s="1">
        <f>O1847*J1847*K1847</f>
        <v>0</v>
      </c>
      <c r="N1847" s="3"/>
      <c r="O1847" s="2">
        <f>L1847/J1847*(1-K1847)</f>
        <v>2040000</v>
      </c>
    </row>
    <row r="1848" ht="14.25">
      <c r="A1848" s="3" t="s">
        <v>1292</v>
      </c>
      <c r="B1848" s="3" t="s">
        <v>1292</v>
      </c>
      <c r="C1848" s="3" t="s">
        <v>1344</v>
      </c>
      <c r="D1848" s="3" t="s">
        <v>17</v>
      </c>
      <c r="E1848" s="3" t="s">
        <v>513</v>
      </c>
      <c r="F1848" s="3" t="s">
        <v>19</v>
      </c>
      <c r="G1848" s="4">
        <v>0</v>
      </c>
      <c r="H1848" s="4">
        <v>11977208</v>
      </c>
      <c r="I1848" s="3" t="s">
        <v>223</v>
      </c>
      <c r="J1848" s="4">
        <v>12</v>
      </c>
      <c r="K1848" s="3" t="s">
        <v>21</v>
      </c>
      <c r="L1848" s="4">
        <v>741600</v>
      </c>
      <c r="M1848" s="1">
        <f>O1848*J1848*K1848</f>
        <v>0</v>
      </c>
      <c r="N1848" s="3"/>
      <c r="O1848" s="2">
        <f>L1848/J1848*(1-K1848)</f>
        <v>61800</v>
      </c>
    </row>
    <row r="1849" ht="14.25">
      <c r="A1849" s="3" t="s">
        <v>1292</v>
      </c>
      <c r="B1849" s="3" t="s">
        <v>1292</v>
      </c>
      <c r="C1849" s="3" t="s">
        <v>1344</v>
      </c>
      <c r="D1849" s="3" t="s">
        <v>17</v>
      </c>
      <c r="E1849" s="3" t="s">
        <v>513</v>
      </c>
      <c r="F1849" s="3" t="s">
        <v>19</v>
      </c>
      <c r="G1849" s="4">
        <v>0</v>
      </c>
      <c r="H1849" s="4">
        <v>11977208</v>
      </c>
      <c r="I1849" s="3" t="s">
        <v>261</v>
      </c>
      <c r="J1849" s="4">
        <v>12</v>
      </c>
      <c r="K1849" s="3" t="s">
        <v>21</v>
      </c>
      <c r="L1849" s="4">
        <v>796176</v>
      </c>
      <c r="M1849" s="1">
        <f>O1849*J1849*K1849</f>
        <v>0</v>
      </c>
      <c r="N1849" s="3"/>
      <c r="O1849" s="2">
        <f>L1849/J1849*(1-K1849)</f>
        <v>66348</v>
      </c>
    </row>
    <row r="1850" ht="14.25">
      <c r="A1850" s="3" t="s">
        <v>1292</v>
      </c>
      <c r="B1850" s="3" t="s">
        <v>1292</v>
      </c>
      <c r="C1850" s="3" t="s">
        <v>1344</v>
      </c>
      <c r="D1850" s="3" t="s">
        <v>17</v>
      </c>
      <c r="E1850" s="3" t="s">
        <v>513</v>
      </c>
      <c r="F1850" s="3" t="s">
        <v>19</v>
      </c>
      <c r="G1850" s="4">
        <v>0</v>
      </c>
      <c r="H1850" s="4">
        <v>11977208</v>
      </c>
      <c r="I1850" s="3" t="s">
        <v>182</v>
      </c>
      <c r="J1850" s="4">
        <v>4</v>
      </c>
      <c r="K1850" s="3" t="s">
        <v>21</v>
      </c>
      <c r="L1850" s="4">
        <v>1324580</v>
      </c>
      <c r="M1850" s="1">
        <f>O1850*J1850*K1850</f>
        <v>0</v>
      </c>
      <c r="N1850" s="3"/>
      <c r="O1850" s="2">
        <f>L1850/J1850*(1-K1850)</f>
        <v>331145</v>
      </c>
    </row>
    <row r="1851" ht="14.25">
      <c r="A1851" s="3" t="s">
        <v>1292</v>
      </c>
      <c r="B1851" s="3" t="s">
        <v>1292</v>
      </c>
      <c r="C1851" s="3" t="s">
        <v>1344</v>
      </c>
      <c r="D1851" s="3" t="s">
        <v>17</v>
      </c>
      <c r="E1851" s="3" t="s">
        <v>513</v>
      </c>
      <c r="F1851" s="3" t="s">
        <v>19</v>
      </c>
      <c r="G1851" s="4">
        <v>0</v>
      </c>
      <c r="H1851" s="4">
        <v>11977208</v>
      </c>
      <c r="I1851" s="3" t="s">
        <v>38</v>
      </c>
      <c r="J1851" s="4">
        <v>6</v>
      </c>
      <c r="K1851" s="3" t="s">
        <v>21</v>
      </c>
      <c r="L1851" s="4">
        <v>954852</v>
      </c>
      <c r="M1851" s="1">
        <f>O1851*J1851*K1851</f>
        <v>0</v>
      </c>
      <c r="N1851" s="3"/>
      <c r="O1851" s="2">
        <f>L1851/J1851*(1-K1851)</f>
        <v>159142</v>
      </c>
    </row>
    <row r="1852" ht="14.25">
      <c r="A1852" s="3" t="s">
        <v>1292</v>
      </c>
      <c r="B1852" s="3" t="s">
        <v>1292</v>
      </c>
      <c r="C1852" s="3" t="s">
        <v>1345</v>
      </c>
      <c r="D1852" s="3" t="s">
        <v>17</v>
      </c>
      <c r="E1852" s="3" t="s">
        <v>1198</v>
      </c>
      <c r="F1852" s="3" t="s">
        <v>19</v>
      </c>
      <c r="G1852" s="4">
        <v>0</v>
      </c>
      <c r="H1852" s="4">
        <v>13800000</v>
      </c>
      <c r="I1852" s="3" t="s">
        <v>61</v>
      </c>
      <c r="J1852" s="4">
        <v>1</v>
      </c>
      <c r="K1852" s="3" t="s">
        <v>21</v>
      </c>
      <c r="L1852" s="4">
        <v>4400000</v>
      </c>
      <c r="M1852" s="1">
        <f>O1852*J1852*K1852</f>
        <v>0</v>
      </c>
      <c r="N1852" s="3"/>
      <c r="O1852" s="2">
        <f>L1852/J1852*(1-K1852)</f>
        <v>4400000</v>
      </c>
    </row>
    <row r="1853" ht="14.25">
      <c r="A1853" s="3" t="s">
        <v>1292</v>
      </c>
      <c r="B1853" s="3" t="s">
        <v>1292</v>
      </c>
      <c r="C1853" s="3" t="s">
        <v>1345</v>
      </c>
      <c r="D1853" s="3" t="s">
        <v>17</v>
      </c>
      <c r="E1853" s="3" t="s">
        <v>1198</v>
      </c>
      <c r="F1853" s="3" t="s">
        <v>19</v>
      </c>
      <c r="G1853" s="4">
        <v>0</v>
      </c>
      <c r="H1853" s="4">
        <v>13800000</v>
      </c>
      <c r="I1853" s="3" t="s">
        <v>1346</v>
      </c>
      <c r="J1853" s="4">
        <v>1</v>
      </c>
      <c r="K1853" s="3" t="s">
        <v>21</v>
      </c>
      <c r="L1853" s="4">
        <v>4400000</v>
      </c>
      <c r="M1853" s="1">
        <f>O1853*J1853*K1853</f>
        <v>0</v>
      </c>
      <c r="N1853" s="3"/>
      <c r="O1853" s="2">
        <f>L1853/J1853*(1-K1853)</f>
        <v>4400000</v>
      </c>
    </row>
    <row r="1854" ht="14.25">
      <c r="A1854" s="3" t="s">
        <v>1292</v>
      </c>
      <c r="B1854" s="3" t="s">
        <v>1292</v>
      </c>
      <c r="C1854" s="3" t="s">
        <v>1345</v>
      </c>
      <c r="D1854" s="3" t="s">
        <v>17</v>
      </c>
      <c r="E1854" s="3" t="s">
        <v>1198</v>
      </c>
      <c r="F1854" s="3" t="s">
        <v>19</v>
      </c>
      <c r="G1854" s="4">
        <v>0</v>
      </c>
      <c r="H1854" s="4">
        <v>13800000</v>
      </c>
      <c r="I1854" s="3" t="s">
        <v>86</v>
      </c>
      <c r="J1854" s="4">
        <v>1</v>
      </c>
      <c r="K1854" s="3" t="s">
        <v>21</v>
      </c>
      <c r="L1854" s="4">
        <v>5000000</v>
      </c>
      <c r="M1854" s="1">
        <f>O1854*J1854*K1854</f>
        <v>0</v>
      </c>
      <c r="N1854" s="3"/>
      <c r="O1854" s="2">
        <f>L1854/J1854*(1-K1854)</f>
        <v>5000000</v>
      </c>
    </row>
    <row r="1855" ht="14.25">
      <c r="A1855" s="3" t="s">
        <v>1292</v>
      </c>
      <c r="B1855" s="3" t="s">
        <v>1292</v>
      </c>
      <c r="C1855" s="3" t="s">
        <v>1347</v>
      </c>
      <c r="D1855" s="3" t="s">
        <v>17</v>
      </c>
      <c r="E1855" s="3" t="s">
        <v>1348</v>
      </c>
      <c r="F1855" s="3" t="s">
        <v>19</v>
      </c>
      <c r="G1855" s="4">
        <v>0</v>
      </c>
      <c r="H1855" s="4">
        <v>520000</v>
      </c>
      <c r="I1855" s="3" t="s">
        <v>321</v>
      </c>
      <c r="J1855" s="4">
        <v>2</v>
      </c>
      <c r="K1855" s="3" t="s">
        <v>21</v>
      </c>
      <c r="L1855" s="4">
        <v>520000</v>
      </c>
      <c r="M1855" s="1">
        <f>O1855*J1855*K1855</f>
        <v>0</v>
      </c>
      <c r="N1855" s="3"/>
      <c r="O1855" s="2">
        <f>L1855/J1855*(1-K1855)</f>
        <v>260000</v>
      </c>
    </row>
    <row r="1856" ht="14.25">
      <c r="A1856" s="3" t="s">
        <v>1292</v>
      </c>
      <c r="B1856" s="3" t="s">
        <v>1292</v>
      </c>
      <c r="C1856" s="3" t="s">
        <v>1349</v>
      </c>
      <c r="D1856" s="3" t="s">
        <v>17</v>
      </c>
      <c r="E1856" s="3" t="s">
        <v>782</v>
      </c>
      <c r="F1856" s="3" t="s">
        <v>19</v>
      </c>
      <c r="G1856" s="4">
        <v>0</v>
      </c>
      <c r="H1856" s="4">
        <v>0</v>
      </c>
      <c r="I1856" s="3" t="s">
        <v>39</v>
      </c>
      <c r="J1856" s="4">
        <v>2</v>
      </c>
      <c r="K1856" s="3" t="s">
        <v>21</v>
      </c>
      <c r="L1856" s="4">
        <v>0</v>
      </c>
      <c r="M1856" s="1">
        <f>O1856*J1856*K1856</f>
        <v>0</v>
      </c>
      <c r="N1856" s="3"/>
      <c r="O1856" s="2">
        <f>L1856/J1856*(1-K1856)</f>
        <v>0</v>
      </c>
    </row>
    <row r="1857" ht="14.25">
      <c r="A1857" s="3" t="s">
        <v>1292</v>
      </c>
      <c r="B1857" s="3" t="s">
        <v>1292</v>
      </c>
      <c r="C1857" s="3" t="s">
        <v>1349</v>
      </c>
      <c r="D1857" s="3" t="s">
        <v>17</v>
      </c>
      <c r="E1857" s="3" t="s">
        <v>782</v>
      </c>
      <c r="F1857" s="3" t="s">
        <v>19</v>
      </c>
      <c r="G1857" s="4">
        <v>0</v>
      </c>
      <c r="H1857" s="4">
        <v>0</v>
      </c>
      <c r="I1857" s="3" t="s">
        <v>150</v>
      </c>
      <c r="J1857" s="4">
        <v>8</v>
      </c>
      <c r="K1857" s="3" t="s">
        <v>21</v>
      </c>
      <c r="L1857" s="4">
        <v>0</v>
      </c>
      <c r="M1857" s="1">
        <f>O1857*J1857*K1857</f>
        <v>0</v>
      </c>
      <c r="N1857" s="3"/>
      <c r="O1857" s="2">
        <f>L1857/J1857*(1-K1857)</f>
        <v>0</v>
      </c>
    </row>
    <row r="1858" ht="14.25">
      <c r="A1858" s="3" t="s">
        <v>1292</v>
      </c>
      <c r="B1858" s="3" t="s">
        <v>1292</v>
      </c>
      <c r="C1858" s="3" t="s">
        <v>1349</v>
      </c>
      <c r="D1858" s="3" t="s">
        <v>17</v>
      </c>
      <c r="E1858" s="3" t="s">
        <v>782</v>
      </c>
      <c r="F1858" s="3" t="s">
        <v>19</v>
      </c>
      <c r="G1858" s="4">
        <v>0</v>
      </c>
      <c r="H1858" s="4">
        <v>0</v>
      </c>
      <c r="I1858" s="3" t="s">
        <v>90</v>
      </c>
      <c r="J1858" s="4">
        <v>8</v>
      </c>
      <c r="K1858" s="3" t="s">
        <v>21</v>
      </c>
      <c r="L1858" s="4">
        <v>0</v>
      </c>
      <c r="M1858" s="1">
        <f>O1858*J1858*K1858</f>
        <v>0</v>
      </c>
      <c r="N1858" s="3"/>
      <c r="O1858" s="2">
        <f>L1858/J1858*(1-K1858)</f>
        <v>0</v>
      </c>
    </row>
    <row r="1859" ht="14.25">
      <c r="A1859" s="3" t="s">
        <v>1292</v>
      </c>
      <c r="B1859" s="3" t="s">
        <v>1292</v>
      </c>
      <c r="C1859" s="3" t="s">
        <v>1349</v>
      </c>
      <c r="D1859" s="3" t="s">
        <v>17</v>
      </c>
      <c r="E1859" s="3" t="s">
        <v>782</v>
      </c>
      <c r="F1859" s="3" t="s">
        <v>19</v>
      </c>
      <c r="G1859" s="4">
        <v>0</v>
      </c>
      <c r="H1859" s="4">
        <v>0</v>
      </c>
      <c r="I1859" s="3" t="s">
        <v>1257</v>
      </c>
      <c r="J1859" s="4">
        <v>2</v>
      </c>
      <c r="K1859" s="3" t="s">
        <v>21</v>
      </c>
      <c r="L1859" s="4">
        <v>0</v>
      </c>
      <c r="M1859" s="1">
        <f>O1859*J1859*K1859</f>
        <v>0</v>
      </c>
      <c r="N1859" s="3"/>
      <c r="O1859" s="2">
        <f>L1859/J1859*(1-K1859)</f>
        <v>0</v>
      </c>
    </row>
    <row r="1860" ht="14.25">
      <c r="A1860" s="3" t="s">
        <v>1292</v>
      </c>
      <c r="B1860" s="3" t="s">
        <v>1292</v>
      </c>
      <c r="C1860" s="3" t="s">
        <v>1349</v>
      </c>
      <c r="D1860" s="3" t="s">
        <v>17</v>
      </c>
      <c r="E1860" s="3" t="s">
        <v>782</v>
      </c>
      <c r="F1860" s="3" t="s">
        <v>19</v>
      </c>
      <c r="G1860" s="4">
        <v>0</v>
      </c>
      <c r="H1860" s="4">
        <v>0</v>
      </c>
      <c r="I1860" s="3" t="s">
        <v>297</v>
      </c>
      <c r="J1860" s="4">
        <v>4</v>
      </c>
      <c r="K1860" s="3" t="s">
        <v>21</v>
      </c>
      <c r="L1860" s="4">
        <v>0</v>
      </c>
      <c r="M1860" s="1">
        <f>O1860*J1860*K1860</f>
        <v>0</v>
      </c>
      <c r="N1860" s="3"/>
      <c r="O1860" s="2">
        <f>L1860/J1860*(1-K1860)</f>
        <v>0</v>
      </c>
    </row>
    <row r="1861" ht="14.25">
      <c r="A1861" s="3" t="s">
        <v>1292</v>
      </c>
      <c r="B1861" s="3" t="s">
        <v>1292</v>
      </c>
      <c r="C1861" s="3" t="s">
        <v>1349</v>
      </c>
      <c r="D1861" s="3" t="s">
        <v>17</v>
      </c>
      <c r="E1861" s="3" t="s">
        <v>782</v>
      </c>
      <c r="F1861" s="3" t="s">
        <v>19</v>
      </c>
      <c r="G1861" s="4">
        <v>0</v>
      </c>
      <c r="H1861" s="4">
        <v>0</v>
      </c>
      <c r="I1861" s="3" t="s">
        <v>47</v>
      </c>
      <c r="J1861" s="4">
        <v>60</v>
      </c>
      <c r="K1861" s="3" t="s">
        <v>21</v>
      </c>
      <c r="L1861" s="4">
        <v>0</v>
      </c>
      <c r="M1861" s="1">
        <f>O1861*J1861*K1861</f>
        <v>0</v>
      </c>
      <c r="N1861" s="3"/>
      <c r="O1861" s="2">
        <f>L1861/J1861*(1-K1861)</f>
        <v>0</v>
      </c>
    </row>
    <row r="1862" ht="14.25">
      <c r="A1862" s="3" t="s">
        <v>878</v>
      </c>
      <c r="B1862" s="3" t="s">
        <v>878</v>
      </c>
      <c r="C1862" s="3" t="s">
        <v>1350</v>
      </c>
      <c r="D1862" s="3" t="s">
        <v>17</v>
      </c>
      <c r="E1862" s="3" t="s">
        <v>942</v>
      </c>
      <c r="F1862" s="3" t="s">
        <v>19</v>
      </c>
      <c r="G1862" s="4">
        <v>0</v>
      </c>
      <c r="H1862" s="4">
        <v>0</v>
      </c>
      <c r="I1862" s="3" t="s">
        <v>365</v>
      </c>
      <c r="J1862" s="4">
        <v>1</v>
      </c>
      <c r="K1862" s="3" t="s">
        <v>21</v>
      </c>
      <c r="L1862" s="4">
        <v>0</v>
      </c>
      <c r="M1862" s="1">
        <f>O1862*J1862*K1862</f>
        <v>0</v>
      </c>
      <c r="N1862" s="3"/>
      <c r="O1862" s="2">
        <f>L1862/J1862*(1-K1862)</f>
        <v>0</v>
      </c>
    </row>
    <row r="1863" ht="14.25">
      <c r="A1863" s="3" t="s">
        <v>893</v>
      </c>
      <c r="B1863" s="3" t="s">
        <v>893</v>
      </c>
      <c r="C1863" s="3" t="s">
        <v>1351</v>
      </c>
      <c r="D1863" s="3" t="s">
        <v>17</v>
      </c>
      <c r="E1863" s="3" t="s">
        <v>436</v>
      </c>
      <c r="F1863" s="3" t="s">
        <v>19</v>
      </c>
      <c r="G1863" s="4">
        <v>0</v>
      </c>
      <c r="H1863" s="4">
        <v>3900000</v>
      </c>
      <c r="I1863" s="3" t="s">
        <v>35</v>
      </c>
      <c r="J1863" s="4">
        <v>1</v>
      </c>
      <c r="K1863" s="3" t="s">
        <v>21</v>
      </c>
      <c r="L1863" s="4">
        <v>3900000</v>
      </c>
      <c r="M1863" s="1">
        <f>O1863*J1863*K1863</f>
        <v>0</v>
      </c>
      <c r="N1863" s="3"/>
      <c r="O1863" s="2">
        <f>L1863/J1863*(1-K1863)</f>
        <v>3900000</v>
      </c>
    </row>
    <row r="1864" ht="14.25">
      <c r="A1864" s="3" t="s">
        <v>893</v>
      </c>
      <c r="B1864" s="3" t="s">
        <v>1047</v>
      </c>
      <c r="C1864" s="3" t="s">
        <v>1352</v>
      </c>
      <c r="D1864" s="3" t="s">
        <v>17</v>
      </c>
      <c r="E1864" s="3" t="s">
        <v>441</v>
      </c>
      <c r="F1864" s="3" t="s">
        <v>19</v>
      </c>
      <c r="G1864" s="4">
        <v>0</v>
      </c>
      <c r="H1864" s="4">
        <v>24800000</v>
      </c>
      <c r="I1864" s="3" t="s">
        <v>613</v>
      </c>
      <c r="J1864" s="4">
        <v>1</v>
      </c>
      <c r="K1864" s="3" t="s">
        <v>21</v>
      </c>
      <c r="L1864" s="4">
        <v>7000000</v>
      </c>
      <c r="M1864" s="1">
        <f>O1864*J1864*K1864</f>
        <v>0</v>
      </c>
      <c r="N1864" s="3"/>
      <c r="O1864" s="2">
        <f>L1864/J1864*(1-K1864)</f>
        <v>7000000</v>
      </c>
    </row>
    <row r="1865" ht="14.25">
      <c r="A1865" s="3" t="s">
        <v>893</v>
      </c>
      <c r="B1865" s="3" t="s">
        <v>1047</v>
      </c>
      <c r="C1865" s="3" t="s">
        <v>1352</v>
      </c>
      <c r="D1865" s="3" t="s">
        <v>17</v>
      </c>
      <c r="E1865" s="3" t="s">
        <v>441</v>
      </c>
      <c r="F1865" s="3" t="s">
        <v>19</v>
      </c>
      <c r="G1865" s="4">
        <v>0</v>
      </c>
      <c r="H1865" s="4">
        <v>24800000</v>
      </c>
      <c r="I1865" s="3" t="s">
        <v>86</v>
      </c>
      <c r="J1865" s="4">
        <v>2</v>
      </c>
      <c r="K1865" s="3" t="s">
        <v>21</v>
      </c>
      <c r="L1865" s="4">
        <v>11000000</v>
      </c>
      <c r="M1865" s="1">
        <f>O1865*J1865*K1865</f>
        <v>0</v>
      </c>
      <c r="N1865" s="3"/>
      <c r="O1865" s="2">
        <f>L1865/J1865*(1-K1865)</f>
        <v>5500000</v>
      </c>
    </row>
    <row r="1866" ht="14.25">
      <c r="A1866" s="3" t="s">
        <v>893</v>
      </c>
      <c r="B1866" s="3" t="s">
        <v>1047</v>
      </c>
      <c r="C1866" s="3" t="s">
        <v>1352</v>
      </c>
      <c r="D1866" s="3" t="s">
        <v>17</v>
      </c>
      <c r="E1866" s="3" t="s">
        <v>441</v>
      </c>
      <c r="F1866" s="3" t="s">
        <v>19</v>
      </c>
      <c r="G1866" s="4">
        <v>0</v>
      </c>
      <c r="H1866" s="4">
        <v>24800000</v>
      </c>
      <c r="I1866" s="3" t="s">
        <v>1353</v>
      </c>
      <c r="J1866" s="4">
        <v>1</v>
      </c>
      <c r="K1866" s="3" t="s">
        <v>21</v>
      </c>
      <c r="L1866" s="4">
        <v>6800000</v>
      </c>
      <c r="M1866" s="1">
        <f>O1866*J1866*K1866</f>
        <v>0</v>
      </c>
      <c r="N1866" s="3"/>
      <c r="O1866" s="2">
        <f>L1866/J1866*(1-K1866)</f>
        <v>6800000</v>
      </c>
    </row>
    <row r="1867" ht="14.25">
      <c r="A1867" s="3" t="s">
        <v>893</v>
      </c>
      <c r="B1867" s="3" t="s">
        <v>1354</v>
      </c>
      <c r="C1867" s="3" t="s">
        <v>1355</v>
      </c>
      <c r="D1867" s="3" t="s">
        <v>17</v>
      </c>
      <c r="E1867" s="3" t="s">
        <v>1356</v>
      </c>
      <c r="F1867" s="3" t="s">
        <v>19</v>
      </c>
      <c r="G1867" s="4">
        <v>0</v>
      </c>
      <c r="H1867" s="4">
        <v>4250000</v>
      </c>
      <c r="I1867" s="3" t="s">
        <v>35</v>
      </c>
      <c r="J1867" s="4">
        <v>1</v>
      </c>
      <c r="K1867" s="3" t="s">
        <v>21</v>
      </c>
      <c r="L1867" s="4">
        <v>4250000</v>
      </c>
      <c r="M1867" s="1">
        <f>O1867*J1867*K1867</f>
        <v>0</v>
      </c>
      <c r="N1867" s="3"/>
      <c r="O1867" s="2">
        <f>L1867/J1867*(1-K1867)</f>
        <v>4250000</v>
      </c>
    </row>
    <row r="1868" ht="14.25">
      <c r="A1868" s="3" t="s">
        <v>893</v>
      </c>
      <c r="B1868" s="3" t="s">
        <v>1354</v>
      </c>
      <c r="C1868" s="3" t="s">
        <v>1357</v>
      </c>
      <c r="D1868" s="3" t="s">
        <v>17</v>
      </c>
      <c r="E1868" s="3" t="s">
        <v>895</v>
      </c>
      <c r="F1868" s="3" t="s">
        <v>19</v>
      </c>
      <c r="G1868" s="4">
        <v>0</v>
      </c>
      <c r="H1868" s="4">
        <v>6000000</v>
      </c>
      <c r="I1868" s="3" t="s">
        <v>86</v>
      </c>
      <c r="J1868" s="4">
        <v>1</v>
      </c>
      <c r="K1868" s="3" t="s">
        <v>21</v>
      </c>
      <c r="L1868" s="4">
        <v>6000000</v>
      </c>
      <c r="M1868" s="1">
        <f>O1868*J1868*K1868</f>
        <v>0</v>
      </c>
      <c r="N1868" s="3"/>
      <c r="O1868" s="2">
        <f>L1868/J1868*(1-K1868)</f>
        <v>6000000</v>
      </c>
    </row>
    <row r="1869" ht="14.25">
      <c r="A1869" s="3" t="s">
        <v>893</v>
      </c>
      <c r="B1869" s="3" t="s">
        <v>1354</v>
      </c>
      <c r="C1869" s="3" t="s">
        <v>1358</v>
      </c>
      <c r="D1869" s="3" t="s">
        <v>17</v>
      </c>
      <c r="E1869" s="3" t="s">
        <v>34</v>
      </c>
      <c r="F1869" s="3" t="s">
        <v>19</v>
      </c>
      <c r="G1869" s="4">
        <v>0</v>
      </c>
      <c r="H1869" s="4">
        <v>4683832</v>
      </c>
      <c r="I1869" s="3" t="s">
        <v>844</v>
      </c>
      <c r="J1869" s="4">
        <v>2</v>
      </c>
      <c r="K1869" s="3" t="s">
        <v>21</v>
      </c>
      <c r="L1869" s="4">
        <v>1240000</v>
      </c>
      <c r="M1869" s="1">
        <f>O1869*J1869*K1869</f>
        <v>0</v>
      </c>
      <c r="N1869" s="3"/>
      <c r="O1869" s="2">
        <f>L1869/J1869*(1-K1869)</f>
        <v>620000</v>
      </c>
    </row>
    <row r="1870" ht="14.25">
      <c r="A1870" s="3" t="s">
        <v>893</v>
      </c>
      <c r="B1870" s="3" t="s">
        <v>1354</v>
      </c>
      <c r="C1870" s="3" t="s">
        <v>1358</v>
      </c>
      <c r="D1870" s="3" t="s">
        <v>17</v>
      </c>
      <c r="E1870" s="3" t="s">
        <v>34</v>
      </c>
      <c r="F1870" s="3" t="s">
        <v>19</v>
      </c>
      <c r="G1870" s="4">
        <v>0</v>
      </c>
      <c r="H1870" s="4">
        <v>4683832</v>
      </c>
      <c r="I1870" s="3" t="s">
        <v>79</v>
      </c>
      <c r="J1870" s="4">
        <v>3</v>
      </c>
      <c r="K1870" s="3" t="s">
        <v>21</v>
      </c>
      <c r="L1870" s="4">
        <v>1950000</v>
      </c>
      <c r="M1870" s="1">
        <f>O1870*J1870*K1870</f>
        <v>0</v>
      </c>
      <c r="N1870" s="3"/>
      <c r="O1870" s="2">
        <f>L1870/J1870*(1-K1870)</f>
        <v>650000</v>
      </c>
    </row>
    <row r="1871" ht="14.25">
      <c r="A1871" s="3" t="s">
        <v>893</v>
      </c>
      <c r="B1871" s="3" t="s">
        <v>1354</v>
      </c>
      <c r="C1871" s="3" t="s">
        <v>1358</v>
      </c>
      <c r="D1871" s="3" t="s">
        <v>17</v>
      </c>
      <c r="E1871" s="3" t="s">
        <v>34</v>
      </c>
      <c r="F1871" s="3" t="s">
        <v>19</v>
      </c>
      <c r="G1871" s="4">
        <v>0</v>
      </c>
      <c r="H1871" s="4">
        <v>4683832</v>
      </c>
      <c r="I1871" s="3" t="s">
        <v>1286</v>
      </c>
      <c r="J1871" s="4">
        <v>6</v>
      </c>
      <c r="K1871" s="3" t="s">
        <v>21</v>
      </c>
      <c r="L1871" s="4">
        <v>1493832</v>
      </c>
      <c r="M1871" s="1">
        <f>O1871*J1871*K1871</f>
        <v>0</v>
      </c>
      <c r="N1871" s="3"/>
      <c r="O1871" s="2">
        <f>L1871/J1871*(1-K1871)</f>
        <v>248972</v>
      </c>
    </row>
    <row r="1872" ht="14.25">
      <c r="A1872" s="3" t="s">
        <v>899</v>
      </c>
      <c r="B1872" s="3" t="s">
        <v>899</v>
      </c>
      <c r="C1872" s="3" t="s">
        <v>1359</v>
      </c>
      <c r="D1872" s="3" t="s">
        <v>17</v>
      </c>
      <c r="E1872" s="3" t="s">
        <v>1360</v>
      </c>
      <c r="F1872" s="3" t="s">
        <v>19</v>
      </c>
      <c r="G1872" s="4">
        <v>0</v>
      </c>
      <c r="H1872" s="4">
        <v>3900000</v>
      </c>
      <c r="I1872" s="3" t="s">
        <v>35</v>
      </c>
      <c r="J1872" s="4">
        <v>1</v>
      </c>
      <c r="K1872" s="3" t="s">
        <v>21</v>
      </c>
      <c r="L1872" s="4">
        <v>3900000</v>
      </c>
      <c r="M1872" s="1">
        <f>O1872*J1872*K1872</f>
        <v>0</v>
      </c>
      <c r="N1872" s="3"/>
      <c r="O1872" s="2">
        <f>L1872/J1872*(1-K1872)</f>
        <v>3900000</v>
      </c>
    </row>
    <row r="1873" ht="14.25">
      <c r="A1873" s="3" t="s">
        <v>899</v>
      </c>
      <c r="B1873" s="3" t="s">
        <v>899</v>
      </c>
      <c r="C1873" s="3" t="s">
        <v>1361</v>
      </c>
      <c r="D1873" s="3" t="s">
        <v>17</v>
      </c>
      <c r="E1873" s="3" t="s">
        <v>53</v>
      </c>
      <c r="F1873" s="3" t="s">
        <v>19</v>
      </c>
      <c r="G1873" s="4">
        <v>0</v>
      </c>
      <c r="H1873" s="4">
        <v>9212000</v>
      </c>
      <c r="I1873" s="3" t="s">
        <v>101</v>
      </c>
      <c r="J1873" s="4">
        <v>4</v>
      </c>
      <c r="K1873" s="3" t="s">
        <v>21</v>
      </c>
      <c r="L1873" s="4">
        <v>8060000</v>
      </c>
      <c r="M1873" s="1">
        <f>O1873*J1873*K1873</f>
        <v>0</v>
      </c>
      <c r="N1873" s="3"/>
      <c r="O1873" s="2">
        <f>L1873/J1873*(1-K1873)</f>
        <v>2015000</v>
      </c>
    </row>
    <row r="1874" ht="14.25">
      <c r="A1874" s="3" t="s">
        <v>899</v>
      </c>
      <c r="B1874" s="3" t="s">
        <v>899</v>
      </c>
      <c r="C1874" s="3" t="s">
        <v>1361</v>
      </c>
      <c r="D1874" s="3" t="s">
        <v>17</v>
      </c>
      <c r="E1874" s="3" t="s">
        <v>53</v>
      </c>
      <c r="F1874" s="3" t="s">
        <v>19</v>
      </c>
      <c r="G1874" s="4">
        <v>0</v>
      </c>
      <c r="H1874" s="4">
        <v>9212000</v>
      </c>
      <c r="I1874" s="3" t="s">
        <v>1362</v>
      </c>
      <c r="J1874" s="4">
        <v>24</v>
      </c>
      <c r="K1874" s="3" t="s">
        <v>21</v>
      </c>
      <c r="L1874" s="4">
        <v>1152000</v>
      </c>
      <c r="M1874" s="1">
        <f>O1874*J1874*K1874</f>
        <v>0</v>
      </c>
      <c r="N1874" s="3"/>
      <c r="O1874" s="2">
        <f>L1874/J1874*(1-K1874)</f>
        <v>48000</v>
      </c>
    </row>
    <row r="1875" ht="14.25">
      <c r="A1875" s="3" t="s">
        <v>899</v>
      </c>
      <c r="B1875" s="3" t="s">
        <v>899</v>
      </c>
      <c r="C1875" s="3" t="s">
        <v>1363</v>
      </c>
      <c r="D1875" s="3" t="s">
        <v>17</v>
      </c>
      <c r="E1875" s="3" t="s">
        <v>263</v>
      </c>
      <c r="F1875" s="3" t="s">
        <v>19</v>
      </c>
      <c r="G1875" s="4">
        <v>0</v>
      </c>
      <c r="H1875" s="4">
        <v>5883400</v>
      </c>
      <c r="I1875" s="3" t="s">
        <v>29</v>
      </c>
      <c r="J1875" s="4">
        <v>7</v>
      </c>
      <c r="K1875" s="3" t="s">
        <v>21</v>
      </c>
      <c r="L1875" s="4">
        <v>3430000</v>
      </c>
      <c r="M1875" s="1">
        <f>O1875*J1875*K1875</f>
        <v>0</v>
      </c>
      <c r="N1875" s="3"/>
      <c r="O1875" s="2">
        <f>L1875/J1875*(1-K1875)</f>
        <v>490000</v>
      </c>
    </row>
    <row r="1876" ht="14.25">
      <c r="A1876" s="3" t="s">
        <v>899</v>
      </c>
      <c r="B1876" s="3" t="s">
        <v>899</v>
      </c>
      <c r="C1876" s="3" t="s">
        <v>1363</v>
      </c>
      <c r="D1876" s="3" t="s">
        <v>17</v>
      </c>
      <c r="E1876" s="3" t="s">
        <v>263</v>
      </c>
      <c r="F1876" s="3" t="s">
        <v>19</v>
      </c>
      <c r="G1876" s="4">
        <v>0</v>
      </c>
      <c r="H1876" s="4">
        <v>5883400</v>
      </c>
      <c r="I1876" s="3" t="s">
        <v>68</v>
      </c>
      <c r="J1876" s="4">
        <v>60</v>
      </c>
      <c r="K1876" s="3" t="s">
        <v>21</v>
      </c>
      <c r="L1876" s="4">
        <v>2453400</v>
      </c>
      <c r="M1876" s="1">
        <f>O1876*J1876*K1876</f>
        <v>0</v>
      </c>
      <c r="N1876" s="3"/>
      <c r="O1876" s="2">
        <f>L1876/J1876*(1-K1876)</f>
        <v>40890</v>
      </c>
    </row>
    <row r="1877" ht="14.25">
      <c r="A1877" s="3" t="s">
        <v>899</v>
      </c>
      <c r="B1877" s="3" t="s">
        <v>899</v>
      </c>
      <c r="C1877" s="3" t="s">
        <v>1364</v>
      </c>
      <c r="D1877" s="3" t="s">
        <v>17</v>
      </c>
      <c r="E1877" s="3" t="s">
        <v>50</v>
      </c>
      <c r="F1877" s="3" t="s">
        <v>19</v>
      </c>
      <c r="G1877" s="4">
        <v>0</v>
      </c>
      <c r="H1877" s="4">
        <v>7550000</v>
      </c>
      <c r="I1877" s="3" t="s">
        <v>593</v>
      </c>
      <c r="J1877" s="4">
        <v>5</v>
      </c>
      <c r="K1877" s="3" t="s">
        <v>21</v>
      </c>
      <c r="L1877" s="4">
        <v>3200000</v>
      </c>
      <c r="M1877" s="1">
        <f>O1877*J1877*K1877</f>
        <v>0</v>
      </c>
      <c r="N1877" s="3"/>
      <c r="O1877" s="2">
        <f>L1877/J1877*(1-K1877)</f>
        <v>640000</v>
      </c>
    </row>
    <row r="1878" ht="14.25">
      <c r="A1878" s="3" t="s">
        <v>899</v>
      </c>
      <c r="B1878" s="3" t="s">
        <v>899</v>
      </c>
      <c r="C1878" s="3" t="s">
        <v>1364</v>
      </c>
      <c r="D1878" s="3" t="s">
        <v>17</v>
      </c>
      <c r="E1878" s="3" t="s">
        <v>50</v>
      </c>
      <c r="F1878" s="3" t="s">
        <v>19</v>
      </c>
      <c r="G1878" s="4">
        <v>0</v>
      </c>
      <c r="H1878" s="4">
        <v>7550000</v>
      </c>
      <c r="I1878" s="3" t="s">
        <v>607</v>
      </c>
      <c r="J1878" s="4">
        <v>5</v>
      </c>
      <c r="K1878" s="3" t="s">
        <v>21</v>
      </c>
      <c r="L1878" s="4">
        <v>3200000</v>
      </c>
      <c r="M1878" s="1">
        <f>O1878*J1878*K1878</f>
        <v>0</v>
      </c>
      <c r="N1878" s="3"/>
      <c r="O1878" s="2">
        <f>L1878/J1878*(1-K1878)</f>
        <v>640000</v>
      </c>
    </row>
    <row r="1879" ht="14.25">
      <c r="A1879" s="3" t="s">
        <v>899</v>
      </c>
      <c r="B1879" s="3" t="s">
        <v>899</v>
      </c>
      <c r="C1879" s="3" t="s">
        <v>1364</v>
      </c>
      <c r="D1879" s="3" t="s">
        <v>17</v>
      </c>
      <c r="E1879" s="3" t="s">
        <v>50</v>
      </c>
      <c r="F1879" s="3" t="s">
        <v>19</v>
      </c>
      <c r="G1879" s="4">
        <v>0</v>
      </c>
      <c r="H1879" s="4">
        <v>7550000</v>
      </c>
      <c r="I1879" s="3" t="s">
        <v>701</v>
      </c>
      <c r="J1879" s="4">
        <v>5</v>
      </c>
      <c r="K1879" s="3" t="s">
        <v>21</v>
      </c>
      <c r="L1879" s="4">
        <v>1150000</v>
      </c>
      <c r="M1879" s="1">
        <f>O1879*J1879*K1879</f>
        <v>0</v>
      </c>
      <c r="N1879" s="3"/>
      <c r="O1879" s="2">
        <f>L1879/J1879*(1-K1879)</f>
        <v>230000</v>
      </c>
    </row>
    <row r="1880" ht="14.25">
      <c r="A1880" s="3" t="s">
        <v>899</v>
      </c>
      <c r="B1880" s="3" t="s">
        <v>1365</v>
      </c>
      <c r="C1880" s="3" t="s">
        <v>1366</v>
      </c>
      <c r="D1880" s="3" t="s">
        <v>17</v>
      </c>
      <c r="E1880" s="3" t="s">
        <v>1367</v>
      </c>
      <c r="F1880" s="3" t="s">
        <v>19</v>
      </c>
      <c r="G1880" s="4">
        <v>0</v>
      </c>
      <c r="H1880" s="4">
        <v>1071000</v>
      </c>
      <c r="I1880" s="3" t="s">
        <v>454</v>
      </c>
      <c r="J1880" s="4">
        <v>12</v>
      </c>
      <c r="K1880" s="3" t="s">
        <v>353</v>
      </c>
      <c r="L1880" s="4">
        <v>600000</v>
      </c>
      <c r="M1880" s="1">
        <f>O1880*J1880*K1880</f>
        <v>76500</v>
      </c>
      <c r="N1880" s="3"/>
      <c r="O1880" s="2">
        <f>L1880/J1880*(1-K1880)</f>
        <v>42500</v>
      </c>
    </row>
    <row r="1881" ht="14.25">
      <c r="A1881" s="3" t="s">
        <v>899</v>
      </c>
      <c r="B1881" s="3" t="s">
        <v>1365</v>
      </c>
      <c r="C1881" s="3" t="s">
        <v>1366</v>
      </c>
      <c r="D1881" s="3" t="s">
        <v>17</v>
      </c>
      <c r="E1881" s="3" t="s">
        <v>1367</v>
      </c>
      <c r="F1881" s="3" t="s">
        <v>19</v>
      </c>
      <c r="G1881" s="4">
        <v>0</v>
      </c>
      <c r="H1881" s="4">
        <v>1071000</v>
      </c>
      <c r="I1881" s="3" t="s">
        <v>327</v>
      </c>
      <c r="J1881" s="4">
        <v>12</v>
      </c>
      <c r="K1881" s="3" t="s">
        <v>353</v>
      </c>
      <c r="L1881" s="4">
        <v>660000</v>
      </c>
      <c r="M1881" s="1">
        <f>O1881*J1881*K1881</f>
        <v>84150</v>
      </c>
      <c r="N1881" s="3"/>
      <c r="O1881" s="2">
        <f>L1881/J1881*(1-K1881)</f>
        <v>46750</v>
      </c>
    </row>
    <row r="1882" ht="14.25">
      <c r="A1882" s="3" t="s">
        <v>899</v>
      </c>
      <c r="B1882" s="3" t="s">
        <v>1368</v>
      </c>
      <c r="C1882" s="3" t="s">
        <v>1369</v>
      </c>
      <c r="D1882" s="3" t="s">
        <v>159</v>
      </c>
      <c r="E1882" s="3" t="s">
        <v>1370</v>
      </c>
      <c r="F1882" s="3" t="s">
        <v>19</v>
      </c>
      <c r="G1882" s="4">
        <v>8088000</v>
      </c>
      <c r="H1882" s="4">
        <v>12088000</v>
      </c>
      <c r="I1882" s="3" t="s">
        <v>105</v>
      </c>
      <c r="J1882" s="4">
        <v>1</v>
      </c>
      <c r="K1882" s="3" t="s">
        <v>21</v>
      </c>
      <c r="L1882" s="4">
        <v>6000000</v>
      </c>
      <c r="M1882" s="1">
        <f>O1882*J1882*K1882</f>
        <v>0</v>
      </c>
      <c r="N1882" s="3"/>
      <c r="O1882" s="2">
        <f>L1882/J1882*(1-K1882)</f>
        <v>6000000</v>
      </c>
    </row>
    <row r="1883" ht="14.25">
      <c r="A1883" s="3" t="s">
        <v>899</v>
      </c>
      <c r="B1883" s="3" t="s">
        <v>1368</v>
      </c>
      <c r="C1883" s="3" t="s">
        <v>1369</v>
      </c>
      <c r="D1883" s="3" t="s">
        <v>159</v>
      </c>
      <c r="E1883" s="3" t="s">
        <v>1370</v>
      </c>
      <c r="F1883" s="3" t="s">
        <v>19</v>
      </c>
      <c r="G1883" s="4">
        <v>8088000</v>
      </c>
      <c r="H1883" s="4">
        <v>12088000</v>
      </c>
      <c r="I1883" s="3" t="s">
        <v>700</v>
      </c>
      <c r="J1883" s="4">
        <v>1</v>
      </c>
      <c r="K1883" s="3" t="s">
        <v>21</v>
      </c>
      <c r="L1883" s="4">
        <v>3600000</v>
      </c>
      <c r="M1883" s="1">
        <f>O1883*J1883*K1883</f>
        <v>0</v>
      </c>
      <c r="N1883" s="3"/>
      <c r="O1883" s="2">
        <f>L1883/J1883*(1-K1883)</f>
        <v>3600000</v>
      </c>
    </row>
    <row r="1884" ht="14.25">
      <c r="A1884" s="3" t="s">
        <v>899</v>
      </c>
      <c r="B1884" s="3" t="s">
        <v>1368</v>
      </c>
      <c r="C1884" s="3" t="s">
        <v>1369</v>
      </c>
      <c r="D1884" s="3" t="s">
        <v>159</v>
      </c>
      <c r="E1884" s="3" t="s">
        <v>1370</v>
      </c>
      <c r="F1884" s="3" t="s">
        <v>19</v>
      </c>
      <c r="G1884" s="4">
        <v>8088000</v>
      </c>
      <c r="H1884" s="4">
        <v>12088000</v>
      </c>
      <c r="I1884" s="3" t="s">
        <v>399</v>
      </c>
      <c r="J1884" s="4">
        <v>4</v>
      </c>
      <c r="K1884" s="3" t="s">
        <v>21</v>
      </c>
      <c r="L1884" s="4">
        <v>1360000</v>
      </c>
      <c r="M1884" s="1">
        <f>O1884*J1884*K1884</f>
        <v>0</v>
      </c>
      <c r="N1884" s="3"/>
      <c r="O1884" s="2">
        <f>L1884/J1884*(1-K1884)</f>
        <v>340000</v>
      </c>
    </row>
    <row r="1885" ht="14.25">
      <c r="A1885" s="3" t="s">
        <v>899</v>
      </c>
      <c r="B1885" s="3" t="s">
        <v>1368</v>
      </c>
      <c r="C1885" s="3" t="s">
        <v>1369</v>
      </c>
      <c r="D1885" s="3" t="s">
        <v>159</v>
      </c>
      <c r="E1885" s="3" t="s">
        <v>1370</v>
      </c>
      <c r="F1885" s="3" t="s">
        <v>19</v>
      </c>
      <c r="G1885" s="4">
        <v>8088000</v>
      </c>
      <c r="H1885" s="4">
        <v>12088000</v>
      </c>
      <c r="I1885" s="3" t="s">
        <v>210</v>
      </c>
      <c r="J1885" s="4">
        <v>24</v>
      </c>
      <c r="K1885" s="3" t="s">
        <v>21</v>
      </c>
      <c r="L1885" s="4">
        <v>1128000</v>
      </c>
      <c r="M1885" s="1">
        <f>O1885*J1885*K1885</f>
        <v>0</v>
      </c>
      <c r="N1885" s="3"/>
      <c r="O1885" s="2">
        <f>L1885/J1885*(1-K1885)</f>
        <v>47000</v>
      </c>
    </row>
    <row r="1886" ht="14.25">
      <c r="A1886" s="3" t="s">
        <v>899</v>
      </c>
      <c r="B1886" s="3" t="s">
        <v>1365</v>
      </c>
      <c r="C1886" s="3" t="s">
        <v>1371</v>
      </c>
      <c r="D1886" s="3" t="s">
        <v>17</v>
      </c>
      <c r="E1886" s="3" t="s">
        <v>1372</v>
      </c>
      <c r="F1886" s="3" t="s">
        <v>19</v>
      </c>
      <c r="G1886" s="4">
        <v>0</v>
      </c>
      <c r="H1886" s="4">
        <v>3850000</v>
      </c>
      <c r="I1886" s="3" t="s">
        <v>39</v>
      </c>
      <c r="J1886" s="4">
        <v>1</v>
      </c>
      <c r="K1886" s="3" t="s">
        <v>21</v>
      </c>
      <c r="L1886" s="4">
        <v>3850000</v>
      </c>
      <c r="M1886" s="1">
        <f>O1886*J1886*K1886</f>
        <v>0</v>
      </c>
      <c r="N1886" s="3"/>
      <c r="O1886" s="2">
        <f>L1886/J1886*(1-K1886)</f>
        <v>3850000</v>
      </c>
    </row>
    <row r="1887" ht="14.25">
      <c r="A1887" s="3" t="s">
        <v>899</v>
      </c>
      <c r="B1887" s="3" t="s">
        <v>1368</v>
      </c>
      <c r="C1887" s="3" t="s">
        <v>1373</v>
      </c>
      <c r="D1887" s="3" t="s">
        <v>159</v>
      </c>
      <c r="E1887" s="3" t="s">
        <v>1374</v>
      </c>
      <c r="F1887" s="3" t="s">
        <v>19</v>
      </c>
      <c r="G1887" s="4">
        <v>11630000</v>
      </c>
      <c r="H1887" s="4">
        <v>11630000</v>
      </c>
      <c r="I1887" s="3" t="s">
        <v>1266</v>
      </c>
      <c r="J1887" s="4">
        <v>1</v>
      </c>
      <c r="K1887" s="3" t="s">
        <v>21</v>
      </c>
      <c r="L1887" s="4">
        <v>4200000</v>
      </c>
      <c r="M1887" s="1">
        <f>O1887*J1887*K1887</f>
        <v>0</v>
      </c>
      <c r="N1887" s="3"/>
      <c r="O1887" s="2">
        <f>L1887/J1887*(1-K1887)</f>
        <v>4200000</v>
      </c>
    </row>
    <row r="1888" ht="14.25">
      <c r="A1888" s="3" t="s">
        <v>899</v>
      </c>
      <c r="B1888" s="3" t="s">
        <v>1368</v>
      </c>
      <c r="C1888" s="3" t="s">
        <v>1373</v>
      </c>
      <c r="D1888" s="3" t="s">
        <v>159</v>
      </c>
      <c r="E1888" s="3" t="s">
        <v>1374</v>
      </c>
      <c r="F1888" s="3" t="s">
        <v>19</v>
      </c>
      <c r="G1888" s="4">
        <v>11630000</v>
      </c>
      <c r="H1888" s="4">
        <v>11630000</v>
      </c>
      <c r="I1888" s="3" t="s">
        <v>608</v>
      </c>
      <c r="J1888" s="4">
        <v>3</v>
      </c>
      <c r="K1888" s="3" t="s">
        <v>21</v>
      </c>
      <c r="L1888" s="4">
        <v>2850000</v>
      </c>
      <c r="M1888" s="1">
        <f>O1888*J1888*K1888</f>
        <v>0</v>
      </c>
      <c r="N1888" s="3"/>
      <c r="O1888" s="2">
        <f>L1888/J1888*(1-K1888)</f>
        <v>950000</v>
      </c>
    </row>
    <row r="1889" ht="14.25">
      <c r="A1889" s="3" t="s">
        <v>899</v>
      </c>
      <c r="B1889" s="3" t="s">
        <v>1368</v>
      </c>
      <c r="C1889" s="3" t="s">
        <v>1373</v>
      </c>
      <c r="D1889" s="3" t="s">
        <v>159</v>
      </c>
      <c r="E1889" s="3" t="s">
        <v>1374</v>
      </c>
      <c r="F1889" s="3" t="s">
        <v>19</v>
      </c>
      <c r="G1889" s="4">
        <v>11630000</v>
      </c>
      <c r="H1889" s="4">
        <v>11630000</v>
      </c>
      <c r="I1889" s="3" t="s">
        <v>474</v>
      </c>
      <c r="J1889" s="4">
        <v>4</v>
      </c>
      <c r="K1889" s="3" t="s">
        <v>21</v>
      </c>
      <c r="L1889" s="4">
        <v>1480000</v>
      </c>
      <c r="M1889" s="1">
        <f>O1889*J1889*K1889</f>
        <v>0</v>
      </c>
      <c r="N1889" s="3"/>
      <c r="O1889" s="2">
        <f>L1889/J1889*(1-K1889)</f>
        <v>370000</v>
      </c>
    </row>
    <row r="1890" ht="14.25">
      <c r="A1890" s="3" t="s">
        <v>899</v>
      </c>
      <c r="B1890" s="3" t="s">
        <v>1368</v>
      </c>
      <c r="C1890" s="3" t="s">
        <v>1373</v>
      </c>
      <c r="D1890" s="3" t="s">
        <v>159</v>
      </c>
      <c r="E1890" s="3" t="s">
        <v>1374</v>
      </c>
      <c r="F1890" s="3" t="s">
        <v>19</v>
      </c>
      <c r="G1890" s="4">
        <v>11630000</v>
      </c>
      <c r="H1890" s="4">
        <v>11630000</v>
      </c>
      <c r="I1890" s="3" t="s">
        <v>649</v>
      </c>
      <c r="J1890" s="4">
        <v>4</v>
      </c>
      <c r="K1890" s="3" t="s">
        <v>21</v>
      </c>
      <c r="L1890" s="4">
        <v>800000</v>
      </c>
      <c r="M1890" s="1">
        <f>O1890*J1890*K1890</f>
        <v>0</v>
      </c>
      <c r="N1890" s="3"/>
      <c r="O1890" s="2">
        <f>L1890/J1890*(1-K1890)</f>
        <v>200000</v>
      </c>
    </row>
    <row r="1891" ht="14.25">
      <c r="A1891" s="3" t="s">
        <v>899</v>
      </c>
      <c r="B1891" s="3" t="s">
        <v>1368</v>
      </c>
      <c r="C1891" s="3" t="s">
        <v>1373</v>
      </c>
      <c r="D1891" s="3" t="s">
        <v>159</v>
      </c>
      <c r="E1891" s="3" t="s">
        <v>1374</v>
      </c>
      <c r="F1891" s="3" t="s">
        <v>19</v>
      </c>
      <c r="G1891" s="4">
        <v>11630000</v>
      </c>
      <c r="H1891" s="4">
        <v>11630000</v>
      </c>
      <c r="I1891" s="3" t="s">
        <v>475</v>
      </c>
      <c r="J1891" s="4">
        <v>20</v>
      </c>
      <c r="K1891" s="3" t="s">
        <v>21</v>
      </c>
      <c r="L1891" s="4">
        <v>800000</v>
      </c>
      <c r="M1891" s="1">
        <f>O1891*J1891*K1891</f>
        <v>0</v>
      </c>
      <c r="N1891" s="3"/>
      <c r="O1891" s="2">
        <f>L1891/J1891*(1-K1891)</f>
        <v>40000</v>
      </c>
    </row>
    <row r="1892" ht="14.25">
      <c r="A1892" s="3" t="s">
        <v>899</v>
      </c>
      <c r="B1892" s="3" t="s">
        <v>1368</v>
      </c>
      <c r="C1892" s="3" t="s">
        <v>1373</v>
      </c>
      <c r="D1892" s="3" t="s">
        <v>159</v>
      </c>
      <c r="E1892" s="3" t="s">
        <v>1374</v>
      </c>
      <c r="F1892" s="3" t="s">
        <v>19</v>
      </c>
      <c r="G1892" s="4">
        <v>11630000</v>
      </c>
      <c r="H1892" s="4">
        <v>11630000</v>
      </c>
      <c r="I1892" s="3" t="s">
        <v>29</v>
      </c>
      <c r="J1892" s="4">
        <v>3</v>
      </c>
      <c r="K1892" s="3" t="s">
        <v>21</v>
      </c>
      <c r="L1892" s="4">
        <v>1500000</v>
      </c>
      <c r="M1892" s="1">
        <f>O1892*J1892*K1892</f>
        <v>0</v>
      </c>
      <c r="N1892" s="3"/>
      <c r="O1892" s="2">
        <f>L1892/J1892*(1-K1892)</f>
        <v>500000</v>
      </c>
    </row>
    <row r="1893" ht="14.25">
      <c r="A1893" s="3" t="s">
        <v>899</v>
      </c>
      <c r="B1893" s="3" t="s">
        <v>1368</v>
      </c>
      <c r="C1893" s="3" t="s">
        <v>1375</v>
      </c>
      <c r="D1893" s="3" t="s">
        <v>17</v>
      </c>
      <c r="E1893" s="3" t="s">
        <v>74</v>
      </c>
      <c r="F1893" s="3" t="s">
        <v>19</v>
      </c>
      <c r="G1893" s="4">
        <v>0</v>
      </c>
      <c r="H1893" s="4">
        <v>9424000</v>
      </c>
      <c r="I1893" s="3" t="s">
        <v>39</v>
      </c>
      <c r="J1893" s="4">
        <v>2</v>
      </c>
      <c r="K1893" s="3" t="s">
        <v>21</v>
      </c>
      <c r="L1893" s="4">
        <v>7600000</v>
      </c>
      <c r="M1893" s="1">
        <f>O1893*J1893*K1893</f>
        <v>0</v>
      </c>
      <c r="N1893" s="3"/>
      <c r="O1893" s="2">
        <f>L1893/J1893*(1-K1893)</f>
        <v>3800000</v>
      </c>
    </row>
    <row r="1894" ht="14.25">
      <c r="A1894" s="3" t="s">
        <v>899</v>
      </c>
      <c r="B1894" s="3" t="s">
        <v>1368</v>
      </c>
      <c r="C1894" s="3" t="s">
        <v>1375</v>
      </c>
      <c r="D1894" s="3" t="s">
        <v>17</v>
      </c>
      <c r="E1894" s="3" t="s">
        <v>74</v>
      </c>
      <c r="F1894" s="3" t="s">
        <v>19</v>
      </c>
      <c r="G1894" s="4">
        <v>0</v>
      </c>
      <c r="H1894" s="4">
        <v>9424000</v>
      </c>
      <c r="I1894" s="3" t="s">
        <v>187</v>
      </c>
      <c r="J1894" s="4">
        <v>20</v>
      </c>
      <c r="K1894" s="3" t="s">
        <v>21</v>
      </c>
      <c r="L1894" s="4">
        <v>960000</v>
      </c>
      <c r="M1894" s="1">
        <f>O1894*J1894*K1894</f>
        <v>0</v>
      </c>
      <c r="N1894" s="3"/>
      <c r="O1894" s="2">
        <f>L1894/J1894*(1-K1894)</f>
        <v>48000</v>
      </c>
    </row>
    <row r="1895" ht="14.25">
      <c r="A1895" s="3" t="s">
        <v>899</v>
      </c>
      <c r="B1895" s="3" t="s">
        <v>1368</v>
      </c>
      <c r="C1895" s="3" t="s">
        <v>1375</v>
      </c>
      <c r="D1895" s="3" t="s">
        <v>17</v>
      </c>
      <c r="E1895" s="3" t="s">
        <v>74</v>
      </c>
      <c r="F1895" s="3" t="s">
        <v>19</v>
      </c>
      <c r="G1895" s="4">
        <v>0</v>
      </c>
      <c r="H1895" s="4">
        <v>9424000</v>
      </c>
      <c r="I1895" s="3" t="s">
        <v>47</v>
      </c>
      <c r="J1895" s="4">
        <v>24</v>
      </c>
      <c r="K1895" s="3" t="s">
        <v>21</v>
      </c>
      <c r="L1895" s="4">
        <v>864000</v>
      </c>
      <c r="M1895" s="1">
        <f>O1895*J1895*K1895</f>
        <v>0</v>
      </c>
      <c r="N1895" s="3"/>
      <c r="O1895" s="2">
        <f>L1895/J1895*(1-K1895)</f>
        <v>36000</v>
      </c>
    </row>
    <row r="1896" ht="14.25">
      <c r="A1896" s="3" t="s">
        <v>926</v>
      </c>
      <c r="B1896" s="3" t="s">
        <v>926</v>
      </c>
      <c r="C1896" s="3" t="s">
        <v>1376</v>
      </c>
      <c r="D1896" s="3" t="s">
        <v>17</v>
      </c>
      <c r="E1896" s="3" t="s">
        <v>874</v>
      </c>
      <c r="F1896" s="3" t="s">
        <v>19</v>
      </c>
      <c r="G1896" s="4">
        <v>0</v>
      </c>
      <c r="H1896" s="4">
        <v>600000</v>
      </c>
      <c r="I1896" s="3" t="s">
        <v>29</v>
      </c>
      <c r="J1896" s="4">
        <v>1</v>
      </c>
      <c r="K1896" s="3" t="s">
        <v>21</v>
      </c>
      <c r="L1896" s="4">
        <v>600000</v>
      </c>
      <c r="M1896" s="1">
        <f>O1896*J1896*K1896</f>
        <v>0</v>
      </c>
      <c r="N1896" s="3"/>
      <c r="O1896" s="2">
        <f>L1896/J1896*(1-K1896)</f>
        <v>600000</v>
      </c>
    </row>
    <row r="1897" ht="14.25">
      <c r="A1897" s="3" t="s">
        <v>926</v>
      </c>
      <c r="B1897" s="3" t="s">
        <v>926</v>
      </c>
      <c r="C1897" s="3" t="s">
        <v>1377</v>
      </c>
      <c r="D1897" s="3" t="s">
        <v>17</v>
      </c>
      <c r="E1897" s="3" t="s">
        <v>1304</v>
      </c>
      <c r="F1897" s="3" t="s">
        <v>19</v>
      </c>
      <c r="G1897" s="4">
        <v>0</v>
      </c>
      <c r="H1897" s="4">
        <v>500000</v>
      </c>
      <c r="I1897" s="3" t="s">
        <v>1263</v>
      </c>
      <c r="J1897" s="4">
        <v>1</v>
      </c>
      <c r="K1897" s="3" t="s">
        <v>21</v>
      </c>
      <c r="L1897" s="4">
        <v>500000</v>
      </c>
      <c r="M1897" s="1">
        <f>O1897*J1897*K1897</f>
        <v>0</v>
      </c>
      <c r="N1897" s="3"/>
      <c r="O1897" s="2">
        <f>L1897/J1897*(1-K1897)</f>
        <v>500000</v>
      </c>
    </row>
    <row r="1898" ht="14.25">
      <c r="A1898" s="3" t="s">
        <v>926</v>
      </c>
      <c r="B1898" s="3" t="s">
        <v>926</v>
      </c>
      <c r="C1898" s="3" t="s">
        <v>1378</v>
      </c>
      <c r="D1898" s="3" t="s">
        <v>17</v>
      </c>
      <c r="E1898" s="3" t="s">
        <v>1379</v>
      </c>
      <c r="F1898" s="3" t="s">
        <v>19</v>
      </c>
      <c r="G1898" s="4">
        <v>0</v>
      </c>
      <c r="H1898" s="4">
        <v>804000</v>
      </c>
      <c r="I1898" s="3" t="s">
        <v>47</v>
      </c>
      <c r="J1898" s="4">
        <v>24</v>
      </c>
      <c r="K1898" s="3" t="s">
        <v>21</v>
      </c>
      <c r="L1898" s="4">
        <v>804000</v>
      </c>
      <c r="M1898" s="1">
        <f>O1898*J1898*K1898</f>
        <v>0</v>
      </c>
      <c r="N1898" s="3"/>
      <c r="O1898" s="2">
        <f>L1898/J1898*(1-K1898)</f>
        <v>33500</v>
      </c>
    </row>
    <row r="1899" ht="14.25">
      <c r="A1899" s="3" t="s">
        <v>926</v>
      </c>
      <c r="B1899" s="3" t="s">
        <v>1380</v>
      </c>
      <c r="C1899" s="3" t="s">
        <v>1381</v>
      </c>
      <c r="D1899" s="3" t="s">
        <v>17</v>
      </c>
      <c r="E1899" s="3" t="s">
        <v>34</v>
      </c>
      <c r="F1899" s="3" t="s">
        <v>19</v>
      </c>
      <c r="G1899" s="4">
        <v>0</v>
      </c>
      <c r="H1899" s="4">
        <v>2460000</v>
      </c>
      <c r="I1899" s="3" t="s">
        <v>123</v>
      </c>
      <c r="J1899" s="4">
        <v>4</v>
      </c>
      <c r="K1899" s="3" t="s">
        <v>21</v>
      </c>
      <c r="L1899" s="4">
        <v>1360000</v>
      </c>
      <c r="M1899" s="1">
        <f>O1899*J1899*K1899</f>
        <v>0</v>
      </c>
      <c r="N1899" s="3"/>
      <c r="O1899" s="2">
        <f>L1899/J1899*(1-K1899)</f>
        <v>340000</v>
      </c>
    </row>
    <row r="1900" ht="14.25">
      <c r="A1900" s="3" t="s">
        <v>926</v>
      </c>
      <c r="B1900" s="3" t="s">
        <v>1380</v>
      </c>
      <c r="C1900" s="3" t="s">
        <v>1381</v>
      </c>
      <c r="D1900" s="3" t="s">
        <v>17</v>
      </c>
      <c r="E1900" s="3" t="s">
        <v>34</v>
      </c>
      <c r="F1900" s="3" t="s">
        <v>19</v>
      </c>
      <c r="G1900" s="4">
        <v>0</v>
      </c>
      <c r="H1900" s="4">
        <v>2460000</v>
      </c>
      <c r="I1900" s="3" t="s">
        <v>589</v>
      </c>
      <c r="J1900" s="4">
        <v>5</v>
      </c>
      <c r="K1900" s="3" t="s">
        <v>21</v>
      </c>
      <c r="L1900" s="4">
        <v>1100000</v>
      </c>
      <c r="M1900" s="1">
        <f>O1900*J1900*K1900</f>
        <v>0</v>
      </c>
      <c r="N1900" s="3"/>
      <c r="O1900" s="2">
        <f>L1900/J1900*(1-K1900)</f>
        <v>220000</v>
      </c>
    </row>
    <row r="1901" ht="14.25">
      <c r="A1901" s="3" t="s">
        <v>926</v>
      </c>
      <c r="B1901" s="3" t="s">
        <v>1380</v>
      </c>
      <c r="C1901" s="3" t="s">
        <v>1382</v>
      </c>
      <c r="D1901" s="3" t="s">
        <v>17</v>
      </c>
      <c r="E1901" s="3" t="s">
        <v>34</v>
      </c>
      <c r="F1901" s="3" t="s">
        <v>19</v>
      </c>
      <c r="G1901" s="4">
        <v>0</v>
      </c>
      <c r="H1901" s="4">
        <v>31087453</v>
      </c>
      <c r="I1901" s="3" t="s">
        <v>497</v>
      </c>
      <c r="J1901" s="4">
        <v>2</v>
      </c>
      <c r="K1901" s="3" t="s">
        <v>21</v>
      </c>
      <c r="L1901" s="4">
        <v>7700000</v>
      </c>
      <c r="M1901" s="1">
        <f>O1901*J1901*K1901</f>
        <v>0</v>
      </c>
      <c r="N1901" s="3"/>
      <c r="O1901" s="2">
        <f>L1901/J1901*(1-K1901)</f>
        <v>3850000</v>
      </c>
    </row>
    <row r="1902" ht="14.25">
      <c r="A1902" s="3" t="s">
        <v>926</v>
      </c>
      <c r="B1902" s="3" t="s">
        <v>1380</v>
      </c>
      <c r="C1902" s="3" t="s">
        <v>1382</v>
      </c>
      <c r="D1902" s="3" t="s">
        <v>17</v>
      </c>
      <c r="E1902" s="3" t="s">
        <v>34</v>
      </c>
      <c r="F1902" s="3" t="s">
        <v>19</v>
      </c>
      <c r="G1902" s="4">
        <v>0</v>
      </c>
      <c r="H1902" s="4">
        <v>31087453</v>
      </c>
      <c r="I1902" s="3" t="s">
        <v>1066</v>
      </c>
      <c r="J1902" s="4">
        <v>1</v>
      </c>
      <c r="K1902" s="3" t="s">
        <v>21</v>
      </c>
      <c r="L1902" s="4">
        <v>3760000</v>
      </c>
      <c r="M1902" s="1">
        <f>O1902*J1902*K1902</f>
        <v>0</v>
      </c>
      <c r="N1902" s="3"/>
      <c r="O1902" s="2">
        <f>L1902/J1902*(1-K1902)</f>
        <v>3760000</v>
      </c>
    </row>
    <row r="1903" ht="14.25">
      <c r="A1903" s="3" t="s">
        <v>926</v>
      </c>
      <c r="B1903" s="3" t="s">
        <v>1380</v>
      </c>
      <c r="C1903" s="3" t="s">
        <v>1382</v>
      </c>
      <c r="D1903" s="3" t="s">
        <v>17</v>
      </c>
      <c r="E1903" s="3" t="s">
        <v>34</v>
      </c>
      <c r="F1903" s="3" t="s">
        <v>19</v>
      </c>
      <c r="G1903" s="4">
        <v>0</v>
      </c>
      <c r="H1903" s="4">
        <v>31087453</v>
      </c>
      <c r="I1903" s="3" t="s">
        <v>700</v>
      </c>
      <c r="J1903" s="4">
        <v>1</v>
      </c>
      <c r="K1903" s="3" t="s">
        <v>21</v>
      </c>
      <c r="L1903" s="4">
        <v>3470000</v>
      </c>
      <c r="M1903" s="1">
        <f>O1903*J1903*K1903</f>
        <v>0</v>
      </c>
      <c r="N1903" s="3"/>
      <c r="O1903" s="2">
        <f>L1903/J1903*(1-K1903)</f>
        <v>3470000</v>
      </c>
    </row>
    <row r="1904" ht="14.25">
      <c r="A1904" s="3" t="s">
        <v>926</v>
      </c>
      <c r="B1904" s="3" t="s">
        <v>1380</v>
      </c>
      <c r="C1904" s="3" t="s">
        <v>1382</v>
      </c>
      <c r="D1904" s="3" t="s">
        <v>17</v>
      </c>
      <c r="E1904" s="3" t="s">
        <v>34</v>
      </c>
      <c r="F1904" s="3" t="s">
        <v>19</v>
      </c>
      <c r="G1904" s="4">
        <v>0</v>
      </c>
      <c r="H1904" s="4">
        <v>31087453</v>
      </c>
      <c r="I1904" s="3" t="s">
        <v>38</v>
      </c>
      <c r="J1904" s="4">
        <v>12</v>
      </c>
      <c r="K1904" s="3" t="s">
        <v>275</v>
      </c>
      <c r="L1904" s="4">
        <v>2031600</v>
      </c>
      <c r="M1904" s="1">
        <f>O1904*J1904*K1904</f>
        <v>149525.76000000001</v>
      </c>
      <c r="N1904" s="3"/>
      <c r="O1904" s="2">
        <f>L1904/J1904*(1-K1904)</f>
        <v>155756</v>
      </c>
    </row>
    <row r="1905" ht="14.25">
      <c r="A1905" s="3" t="s">
        <v>926</v>
      </c>
      <c r="B1905" s="3" t="s">
        <v>1380</v>
      </c>
      <c r="C1905" s="3" t="s">
        <v>1382</v>
      </c>
      <c r="D1905" s="3" t="s">
        <v>17</v>
      </c>
      <c r="E1905" s="3" t="s">
        <v>34</v>
      </c>
      <c r="F1905" s="3" t="s">
        <v>19</v>
      </c>
      <c r="G1905" s="4">
        <v>0</v>
      </c>
      <c r="H1905" s="4">
        <v>31087453</v>
      </c>
      <c r="I1905" s="3" t="s">
        <v>55</v>
      </c>
      <c r="J1905" s="4">
        <v>4</v>
      </c>
      <c r="K1905" s="3" t="s">
        <v>275</v>
      </c>
      <c r="L1905" s="4">
        <v>882800</v>
      </c>
      <c r="M1905" s="1">
        <f>O1905*J1905*K1905</f>
        <v>64974.080000000002</v>
      </c>
      <c r="N1905" s="3"/>
      <c r="O1905" s="2">
        <f>L1905/J1905*(1-K1905)</f>
        <v>203044</v>
      </c>
    </row>
    <row r="1906" ht="14.25">
      <c r="A1906" s="3" t="s">
        <v>926</v>
      </c>
      <c r="B1906" s="3" t="s">
        <v>1380</v>
      </c>
      <c r="C1906" s="3" t="s">
        <v>1382</v>
      </c>
      <c r="D1906" s="3" t="s">
        <v>17</v>
      </c>
      <c r="E1906" s="3" t="s">
        <v>34</v>
      </c>
      <c r="F1906" s="3" t="s">
        <v>19</v>
      </c>
      <c r="G1906" s="4">
        <v>0</v>
      </c>
      <c r="H1906" s="4">
        <v>31087453</v>
      </c>
      <c r="I1906" s="3" t="s">
        <v>982</v>
      </c>
      <c r="J1906" s="4">
        <v>6</v>
      </c>
      <c r="K1906" s="3" t="s">
        <v>21</v>
      </c>
      <c r="L1906" s="4">
        <v>720000</v>
      </c>
      <c r="M1906" s="1">
        <f>O1906*J1906*K1906</f>
        <v>0</v>
      </c>
      <c r="N1906" s="3"/>
      <c r="O1906" s="2">
        <f>L1906/J1906*(1-K1906)</f>
        <v>120000</v>
      </c>
    </row>
    <row r="1907" ht="14.25">
      <c r="A1907" s="3" t="s">
        <v>926</v>
      </c>
      <c r="B1907" s="3" t="s">
        <v>1380</v>
      </c>
      <c r="C1907" s="3" t="s">
        <v>1382</v>
      </c>
      <c r="D1907" s="3" t="s">
        <v>17</v>
      </c>
      <c r="E1907" s="3" t="s">
        <v>34</v>
      </c>
      <c r="F1907" s="3" t="s">
        <v>19</v>
      </c>
      <c r="G1907" s="4">
        <v>0</v>
      </c>
      <c r="H1907" s="4">
        <v>31087453</v>
      </c>
      <c r="I1907" s="3" t="s">
        <v>475</v>
      </c>
      <c r="J1907" s="4">
        <v>20</v>
      </c>
      <c r="K1907" s="3" t="s">
        <v>21</v>
      </c>
      <c r="L1907" s="4">
        <v>720000</v>
      </c>
      <c r="M1907" s="1">
        <f>O1907*J1907*K1907</f>
        <v>0</v>
      </c>
      <c r="N1907" s="3"/>
      <c r="O1907" s="2">
        <f>L1907/J1907*(1-K1907)</f>
        <v>36000</v>
      </c>
    </row>
    <row r="1908" ht="14.25">
      <c r="A1908" s="3" t="s">
        <v>926</v>
      </c>
      <c r="B1908" s="3" t="s">
        <v>1380</v>
      </c>
      <c r="C1908" s="3" t="s">
        <v>1382</v>
      </c>
      <c r="D1908" s="3" t="s">
        <v>17</v>
      </c>
      <c r="E1908" s="3" t="s">
        <v>34</v>
      </c>
      <c r="F1908" s="3" t="s">
        <v>19</v>
      </c>
      <c r="G1908" s="4">
        <v>0</v>
      </c>
      <c r="H1908" s="4">
        <v>31087453</v>
      </c>
      <c r="I1908" s="3" t="s">
        <v>201</v>
      </c>
      <c r="J1908" s="4">
        <v>7</v>
      </c>
      <c r="K1908" s="3" t="s">
        <v>21</v>
      </c>
      <c r="L1908" s="4">
        <v>216545</v>
      </c>
      <c r="M1908" s="1">
        <f>O1908*J1908*K1908</f>
        <v>0</v>
      </c>
      <c r="N1908" s="3"/>
      <c r="O1908" s="2">
        <f>L1908/J1908*(1-K1908)</f>
        <v>30935</v>
      </c>
    </row>
    <row r="1909" ht="14.25">
      <c r="A1909" s="3" t="s">
        <v>926</v>
      </c>
      <c r="B1909" s="3" t="s">
        <v>1380</v>
      </c>
      <c r="C1909" s="3" t="s">
        <v>1382</v>
      </c>
      <c r="D1909" s="3" t="s">
        <v>17</v>
      </c>
      <c r="E1909" s="3" t="s">
        <v>34</v>
      </c>
      <c r="F1909" s="3" t="s">
        <v>19</v>
      </c>
      <c r="G1909" s="4">
        <v>0</v>
      </c>
      <c r="H1909" s="4">
        <v>31087453</v>
      </c>
      <c r="I1909" s="3" t="s">
        <v>356</v>
      </c>
      <c r="J1909" s="4">
        <v>4</v>
      </c>
      <c r="K1909" s="3" t="s">
        <v>21</v>
      </c>
      <c r="L1909" s="4">
        <v>949660</v>
      </c>
      <c r="M1909" s="1">
        <f>O1909*J1909*K1909</f>
        <v>0</v>
      </c>
      <c r="N1909" s="3"/>
      <c r="O1909" s="2">
        <f>L1909/J1909*(1-K1909)</f>
        <v>237415</v>
      </c>
    </row>
    <row r="1910" ht="14.25">
      <c r="A1910" s="3" t="s">
        <v>926</v>
      </c>
      <c r="B1910" s="3" t="s">
        <v>1380</v>
      </c>
      <c r="C1910" s="3" t="s">
        <v>1382</v>
      </c>
      <c r="D1910" s="3" t="s">
        <v>17</v>
      </c>
      <c r="E1910" s="3" t="s">
        <v>34</v>
      </c>
      <c r="F1910" s="3" t="s">
        <v>19</v>
      </c>
      <c r="G1910" s="4">
        <v>0</v>
      </c>
      <c r="H1910" s="4">
        <v>31087453</v>
      </c>
      <c r="I1910" s="3" t="s">
        <v>56</v>
      </c>
      <c r="J1910" s="4">
        <v>4</v>
      </c>
      <c r="K1910" s="3" t="s">
        <v>21</v>
      </c>
      <c r="L1910" s="4">
        <v>620000</v>
      </c>
      <c r="M1910" s="1">
        <f>O1910*J1910*K1910</f>
        <v>0</v>
      </c>
      <c r="N1910" s="3"/>
      <c r="O1910" s="2">
        <f>L1910/J1910*(1-K1910)</f>
        <v>155000</v>
      </c>
    </row>
    <row r="1911" ht="14.25">
      <c r="A1911" s="3" t="s">
        <v>926</v>
      </c>
      <c r="B1911" s="3" t="s">
        <v>1380</v>
      </c>
      <c r="C1911" s="3" t="s">
        <v>1382</v>
      </c>
      <c r="D1911" s="3" t="s">
        <v>17</v>
      </c>
      <c r="E1911" s="3" t="s">
        <v>34</v>
      </c>
      <c r="F1911" s="3" t="s">
        <v>19</v>
      </c>
      <c r="G1911" s="4">
        <v>0</v>
      </c>
      <c r="H1911" s="4">
        <v>31087453</v>
      </c>
      <c r="I1911" s="3" t="s">
        <v>39</v>
      </c>
      <c r="J1911" s="4">
        <v>2</v>
      </c>
      <c r="K1911" s="3" t="s">
        <v>21</v>
      </c>
      <c r="L1911" s="4">
        <v>6600000</v>
      </c>
      <c r="M1911" s="1">
        <f>O1911*J1911*K1911</f>
        <v>0</v>
      </c>
      <c r="N1911" s="3"/>
      <c r="O1911" s="2">
        <f>L1911/J1911*(1-K1911)</f>
        <v>3300000</v>
      </c>
    </row>
    <row r="1912" ht="14.25">
      <c r="A1912" s="3" t="s">
        <v>926</v>
      </c>
      <c r="B1912" s="3" t="s">
        <v>1380</v>
      </c>
      <c r="C1912" s="3" t="s">
        <v>1382</v>
      </c>
      <c r="D1912" s="3" t="s">
        <v>17</v>
      </c>
      <c r="E1912" s="3" t="s">
        <v>34</v>
      </c>
      <c r="F1912" s="3" t="s">
        <v>19</v>
      </c>
      <c r="G1912" s="4">
        <v>0</v>
      </c>
      <c r="H1912" s="4">
        <v>31087453</v>
      </c>
      <c r="I1912" s="3" t="s">
        <v>35</v>
      </c>
      <c r="J1912" s="4">
        <v>1</v>
      </c>
      <c r="K1912" s="3" t="s">
        <v>21</v>
      </c>
      <c r="L1912" s="4">
        <v>3650000</v>
      </c>
      <c r="M1912" s="1">
        <f>O1912*J1912*K1912</f>
        <v>0</v>
      </c>
      <c r="N1912" s="3"/>
      <c r="O1912" s="2">
        <f>L1912/J1912*(1-K1912)</f>
        <v>3650000</v>
      </c>
    </row>
    <row r="1913" ht="14.25">
      <c r="A1913" s="3" t="s">
        <v>926</v>
      </c>
      <c r="B1913" s="3" t="s">
        <v>926</v>
      </c>
      <c r="C1913" s="3" t="s">
        <v>1383</v>
      </c>
      <c r="D1913" s="3" t="s">
        <v>17</v>
      </c>
      <c r="E1913" s="3" t="s">
        <v>1304</v>
      </c>
      <c r="F1913" s="3" t="s">
        <v>19</v>
      </c>
      <c r="G1913" s="4">
        <v>0</v>
      </c>
      <c r="H1913" s="4">
        <v>500000</v>
      </c>
      <c r="I1913" s="3" t="s">
        <v>1263</v>
      </c>
      <c r="J1913" s="4">
        <v>1</v>
      </c>
      <c r="K1913" s="3" t="s">
        <v>21</v>
      </c>
      <c r="L1913" s="4">
        <v>500000</v>
      </c>
      <c r="M1913" s="1">
        <f>O1913*J1913*K1913</f>
        <v>0</v>
      </c>
      <c r="N1913" s="3"/>
      <c r="O1913" s="2">
        <f>L1913/J1913*(1-K1913)</f>
        <v>500000</v>
      </c>
    </row>
    <row r="1914" ht="14.25">
      <c r="A1914" s="3" t="s">
        <v>926</v>
      </c>
      <c r="B1914" s="3" t="s">
        <v>1384</v>
      </c>
      <c r="C1914" s="3" t="s">
        <v>1385</v>
      </c>
      <c r="D1914" s="3" t="s">
        <v>17</v>
      </c>
      <c r="E1914" s="3" t="s">
        <v>559</v>
      </c>
      <c r="F1914" s="3" t="s">
        <v>19</v>
      </c>
      <c r="G1914" s="4">
        <v>0</v>
      </c>
      <c r="H1914" s="4">
        <v>10000000</v>
      </c>
      <c r="I1914" s="3" t="s">
        <v>86</v>
      </c>
      <c r="J1914" s="4">
        <v>2</v>
      </c>
      <c r="K1914" s="3" t="s">
        <v>21</v>
      </c>
      <c r="L1914" s="4">
        <v>10000000</v>
      </c>
      <c r="M1914" s="1">
        <f>O1914*J1914*K1914</f>
        <v>0</v>
      </c>
      <c r="N1914" s="3"/>
      <c r="O1914" s="2">
        <f>L1914/J1914*(1-K1914)</f>
        <v>5000000</v>
      </c>
    </row>
    <row r="1915" ht="14.25">
      <c r="A1915" s="3" t="s">
        <v>926</v>
      </c>
      <c r="B1915" s="3" t="s">
        <v>926</v>
      </c>
      <c r="C1915" s="3" t="s">
        <v>1386</v>
      </c>
      <c r="D1915" s="3" t="s">
        <v>17</v>
      </c>
      <c r="E1915" s="3" t="s">
        <v>559</v>
      </c>
      <c r="F1915" s="3" t="s">
        <v>19</v>
      </c>
      <c r="G1915" s="4">
        <v>0</v>
      </c>
      <c r="H1915" s="4">
        <v>14100000</v>
      </c>
      <c r="I1915" s="3" t="s">
        <v>29</v>
      </c>
      <c r="J1915" s="4">
        <v>30</v>
      </c>
      <c r="K1915" s="3" t="s">
        <v>21</v>
      </c>
      <c r="L1915" s="4">
        <v>14100000</v>
      </c>
      <c r="M1915" s="1">
        <f>O1915*J1915*K1915</f>
        <v>0</v>
      </c>
      <c r="N1915" s="3"/>
      <c r="O1915" s="2">
        <f>L1915/J1915*(1-K1915)</f>
        <v>470000</v>
      </c>
    </row>
    <row r="1916" ht="14.25">
      <c r="A1916" s="3" t="s">
        <v>926</v>
      </c>
      <c r="B1916" s="3" t="s">
        <v>926</v>
      </c>
      <c r="C1916" s="3" t="s">
        <v>1387</v>
      </c>
      <c r="D1916" s="3" t="s">
        <v>17</v>
      </c>
      <c r="E1916" s="3" t="s">
        <v>230</v>
      </c>
      <c r="F1916" s="3" t="s">
        <v>19</v>
      </c>
      <c r="G1916" s="4">
        <v>0</v>
      </c>
      <c r="H1916" s="4">
        <v>7440000</v>
      </c>
      <c r="I1916" s="3" t="s">
        <v>47</v>
      </c>
      <c r="J1916" s="4">
        <v>240</v>
      </c>
      <c r="K1916" s="3" t="s">
        <v>21</v>
      </c>
      <c r="L1916" s="4">
        <v>7440000</v>
      </c>
      <c r="M1916" s="1">
        <f>O1916*J1916*K1916</f>
        <v>0</v>
      </c>
      <c r="N1916" s="3"/>
      <c r="O1916" s="2">
        <f>L1916/J1916*(1-K1916)</f>
        <v>31000</v>
      </c>
    </row>
    <row r="1917" ht="14.25">
      <c r="A1917" s="3" t="s">
        <v>926</v>
      </c>
      <c r="B1917" s="3" t="s">
        <v>926</v>
      </c>
      <c r="C1917" s="3" t="s">
        <v>1388</v>
      </c>
      <c r="D1917" s="3" t="s">
        <v>17</v>
      </c>
      <c r="E1917" s="3" t="s">
        <v>648</v>
      </c>
      <c r="F1917" s="3" t="s">
        <v>19</v>
      </c>
      <c r="G1917" s="4">
        <v>0</v>
      </c>
      <c r="H1917" s="4">
        <v>3892000</v>
      </c>
      <c r="I1917" s="3" t="s">
        <v>649</v>
      </c>
      <c r="J1917" s="4">
        <v>4</v>
      </c>
      <c r="K1917" s="3" t="s">
        <v>21</v>
      </c>
      <c r="L1917" s="4">
        <v>700000</v>
      </c>
      <c r="M1917" s="1">
        <f>O1917*J1917*K1917</f>
        <v>0</v>
      </c>
      <c r="N1917" s="3"/>
      <c r="O1917" s="2">
        <f>L1917/J1917*(1-K1917)</f>
        <v>175000</v>
      </c>
    </row>
    <row r="1918" ht="14.25">
      <c r="A1918" s="3" t="s">
        <v>926</v>
      </c>
      <c r="B1918" s="3" t="s">
        <v>926</v>
      </c>
      <c r="C1918" s="3" t="s">
        <v>1388</v>
      </c>
      <c r="D1918" s="3" t="s">
        <v>17</v>
      </c>
      <c r="E1918" s="3" t="s">
        <v>648</v>
      </c>
      <c r="F1918" s="3" t="s">
        <v>19</v>
      </c>
      <c r="G1918" s="4">
        <v>0</v>
      </c>
      <c r="H1918" s="4">
        <v>3892000</v>
      </c>
      <c r="I1918" s="3" t="s">
        <v>122</v>
      </c>
      <c r="J1918" s="4">
        <v>4</v>
      </c>
      <c r="K1918" s="3" t="s">
        <v>21</v>
      </c>
      <c r="L1918" s="4">
        <v>720000</v>
      </c>
      <c r="M1918" s="1">
        <f>O1918*J1918*K1918</f>
        <v>0</v>
      </c>
      <c r="N1918" s="3"/>
      <c r="O1918" s="2">
        <f>L1918/J1918*(1-K1918)</f>
        <v>180000</v>
      </c>
    </row>
    <row r="1919" ht="14.25">
      <c r="A1919" s="3" t="s">
        <v>926</v>
      </c>
      <c r="B1919" s="3" t="s">
        <v>926</v>
      </c>
      <c r="C1919" s="3" t="s">
        <v>1388</v>
      </c>
      <c r="D1919" s="3" t="s">
        <v>17</v>
      </c>
      <c r="E1919" s="3" t="s">
        <v>648</v>
      </c>
      <c r="F1919" s="3" t="s">
        <v>19</v>
      </c>
      <c r="G1919" s="4">
        <v>0</v>
      </c>
      <c r="H1919" s="4">
        <v>3892000</v>
      </c>
      <c r="I1919" s="3" t="s">
        <v>245</v>
      </c>
      <c r="J1919" s="4">
        <v>4</v>
      </c>
      <c r="K1919" s="3" t="s">
        <v>21</v>
      </c>
      <c r="L1919" s="4">
        <v>720000</v>
      </c>
      <c r="M1919" s="1">
        <f>O1919*J1919*K1919</f>
        <v>0</v>
      </c>
      <c r="N1919" s="3"/>
      <c r="O1919" s="2">
        <f>L1919/J1919*(1-K1919)</f>
        <v>180000</v>
      </c>
    </row>
    <row r="1920" ht="14.25">
      <c r="A1920" s="3" t="s">
        <v>926</v>
      </c>
      <c r="B1920" s="3" t="s">
        <v>926</v>
      </c>
      <c r="C1920" s="3" t="s">
        <v>1388</v>
      </c>
      <c r="D1920" s="3" t="s">
        <v>17</v>
      </c>
      <c r="E1920" s="3" t="s">
        <v>648</v>
      </c>
      <c r="F1920" s="3" t="s">
        <v>19</v>
      </c>
      <c r="G1920" s="4">
        <v>0</v>
      </c>
      <c r="H1920" s="4">
        <v>3892000</v>
      </c>
      <c r="I1920" s="3" t="s">
        <v>606</v>
      </c>
      <c r="J1920" s="4">
        <v>6</v>
      </c>
      <c r="K1920" s="3" t="s">
        <v>21</v>
      </c>
      <c r="L1920" s="4">
        <v>750000</v>
      </c>
      <c r="M1920" s="1">
        <f>O1920*J1920*K1920</f>
        <v>0</v>
      </c>
      <c r="N1920" s="3"/>
      <c r="O1920" s="2">
        <f>L1920/J1920*(1-K1920)</f>
        <v>125000</v>
      </c>
    </row>
    <row r="1921" ht="14.25">
      <c r="A1921" s="3" t="s">
        <v>926</v>
      </c>
      <c r="B1921" s="3" t="s">
        <v>926</v>
      </c>
      <c r="C1921" s="3" t="s">
        <v>1388</v>
      </c>
      <c r="D1921" s="3" t="s">
        <v>17</v>
      </c>
      <c r="E1921" s="3" t="s">
        <v>648</v>
      </c>
      <c r="F1921" s="3" t="s">
        <v>19</v>
      </c>
      <c r="G1921" s="4">
        <v>0</v>
      </c>
      <c r="H1921" s="4">
        <v>3892000</v>
      </c>
      <c r="I1921" s="3" t="s">
        <v>91</v>
      </c>
      <c r="J1921" s="4">
        <v>24</v>
      </c>
      <c r="K1921" s="3" t="s">
        <v>21</v>
      </c>
      <c r="L1921" s="4">
        <v>282000</v>
      </c>
      <c r="M1921" s="1">
        <f>O1921*J1921*K1921</f>
        <v>0</v>
      </c>
      <c r="N1921" s="3"/>
      <c r="O1921" s="2">
        <f>L1921/J1921*(1-K1921)</f>
        <v>11750</v>
      </c>
    </row>
    <row r="1922" ht="14.25">
      <c r="A1922" s="3" t="s">
        <v>926</v>
      </c>
      <c r="B1922" s="3" t="s">
        <v>926</v>
      </c>
      <c r="C1922" s="3" t="s">
        <v>1388</v>
      </c>
      <c r="D1922" s="3" t="s">
        <v>17</v>
      </c>
      <c r="E1922" s="3" t="s">
        <v>648</v>
      </c>
      <c r="F1922" s="3" t="s">
        <v>19</v>
      </c>
      <c r="G1922" s="4">
        <v>0</v>
      </c>
      <c r="H1922" s="4">
        <v>3892000</v>
      </c>
      <c r="I1922" s="3" t="s">
        <v>383</v>
      </c>
      <c r="J1922" s="4">
        <v>4</v>
      </c>
      <c r="K1922" s="3" t="s">
        <v>21</v>
      </c>
      <c r="L1922" s="4">
        <v>720000</v>
      </c>
      <c r="M1922" s="1">
        <f>O1922*J1922*K1922</f>
        <v>0</v>
      </c>
      <c r="N1922" s="3"/>
      <c r="O1922" s="2">
        <f>L1922/J1922*(1-K1922)</f>
        <v>180000</v>
      </c>
    </row>
    <row r="1923" ht="14.25">
      <c r="A1923" s="3" t="s">
        <v>926</v>
      </c>
      <c r="B1923" s="3" t="s">
        <v>1380</v>
      </c>
      <c r="C1923" s="3" t="s">
        <v>1389</v>
      </c>
      <c r="D1923" s="3" t="s">
        <v>17</v>
      </c>
      <c r="E1923" s="3" t="s">
        <v>1390</v>
      </c>
      <c r="F1923" s="3" t="s">
        <v>19</v>
      </c>
      <c r="G1923" s="4">
        <v>0</v>
      </c>
      <c r="H1923" s="4">
        <v>1814120</v>
      </c>
      <c r="I1923" s="3" t="s">
        <v>210</v>
      </c>
      <c r="J1923" s="4">
        <v>24</v>
      </c>
      <c r="K1923" s="3" t="s">
        <v>21</v>
      </c>
      <c r="L1923" s="4">
        <v>1035120</v>
      </c>
      <c r="M1923" s="1">
        <f>O1923*J1923*K1923</f>
        <v>0</v>
      </c>
      <c r="N1923" s="3"/>
      <c r="O1923" s="2">
        <f>L1923/J1923*(1-K1923)</f>
        <v>43130</v>
      </c>
    </row>
    <row r="1924" ht="14.25">
      <c r="A1924" s="3" t="s">
        <v>926</v>
      </c>
      <c r="B1924" s="3" t="s">
        <v>1380</v>
      </c>
      <c r="C1924" s="3" t="s">
        <v>1389</v>
      </c>
      <c r="D1924" s="3" t="s">
        <v>17</v>
      </c>
      <c r="E1924" s="3" t="s">
        <v>1390</v>
      </c>
      <c r="F1924" s="3" t="s">
        <v>19</v>
      </c>
      <c r="G1924" s="4">
        <v>0</v>
      </c>
      <c r="H1924" s="4">
        <v>1814120</v>
      </c>
      <c r="I1924" s="3" t="s">
        <v>493</v>
      </c>
      <c r="J1924" s="4">
        <v>20</v>
      </c>
      <c r="K1924" s="3" t="s">
        <v>21</v>
      </c>
      <c r="L1924" s="4">
        <v>779000</v>
      </c>
      <c r="M1924" s="1">
        <f>O1924*J1924*K1924</f>
        <v>0</v>
      </c>
      <c r="N1924" s="3"/>
      <c r="O1924" s="2">
        <f>L1924/J1924*(1-K1924)</f>
        <v>38950</v>
      </c>
    </row>
    <row r="1925" ht="14.25">
      <c r="A1925" s="3" t="s">
        <v>926</v>
      </c>
      <c r="B1925" s="3" t="s">
        <v>1391</v>
      </c>
      <c r="C1925" s="3" t="s">
        <v>1392</v>
      </c>
      <c r="D1925" s="3" t="s">
        <v>17</v>
      </c>
      <c r="E1925" s="3" t="s">
        <v>1393</v>
      </c>
      <c r="F1925" s="3" t="s">
        <v>19</v>
      </c>
      <c r="G1925" s="4">
        <v>0</v>
      </c>
      <c r="H1925" s="4">
        <v>7500000</v>
      </c>
      <c r="I1925" s="3" t="s">
        <v>1268</v>
      </c>
      <c r="J1925" s="4">
        <v>1</v>
      </c>
      <c r="K1925" s="3" t="s">
        <v>21</v>
      </c>
      <c r="L1925" s="4">
        <v>7500000</v>
      </c>
      <c r="M1925" s="1">
        <f>O1925*J1925*K1925</f>
        <v>0</v>
      </c>
      <c r="N1925" s="3"/>
      <c r="O1925" s="2">
        <f>L1925/J1925*(1-K1925)</f>
        <v>7500000</v>
      </c>
    </row>
    <row r="1926" ht="14.25">
      <c r="A1926" s="3" t="s">
        <v>926</v>
      </c>
      <c r="B1926" s="3" t="s">
        <v>1380</v>
      </c>
      <c r="C1926" s="3" t="s">
        <v>1394</v>
      </c>
      <c r="D1926" s="3" t="s">
        <v>17</v>
      </c>
      <c r="E1926" s="3" t="s">
        <v>389</v>
      </c>
      <c r="F1926" s="3" t="s">
        <v>19</v>
      </c>
      <c r="G1926" s="4">
        <v>0</v>
      </c>
      <c r="H1926" s="4">
        <v>5679936</v>
      </c>
      <c r="I1926" s="3" t="s">
        <v>67</v>
      </c>
      <c r="J1926" s="4">
        <v>10</v>
      </c>
      <c r="K1926" s="3" t="s">
        <v>774</v>
      </c>
      <c r="L1926" s="4">
        <v>3885000</v>
      </c>
      <c r="M1926" s="1">
        <f>O1926*J1926*K1926</f>
        <v>149184</v>
      </c>
      <c r="N1926" s="3"/>
      <c r="O1926" s="2">
        <f>L1926/J1926*(1-K1926)</f>
        <v>372960</v>
      </c>
    </row>
    <row r="1927" ht="14.25">
      <c r="A1927" s="3" t="s">
        <v>926</v>
      </c>
      <c r="B1927" s="3" t="s">
        <v>1380</v>
      </c>
      <c r="C1927" s="3" t="s">
        <v>1394</v>
      </c>
      <c r="D1927" s="3" t="s">
        <v>17</v>
      </c>
      <c r="E1927" s="3" t="s">
        <v>389</v>
      </c>
      <c r="F1927" s="3" t="s">
        <v>19</v>
      </c>
      <c r="G1927" s="4">
        <v>0</v>
      </c>
      <c r="H1927" s="4">
        <v>5679936</v>
      </c>
      <c r="I1927" s="3" t="s">
        <v>38</v>
      </c>
      <c r="J1927" s="4">
        <v>12</v>
      </c>
      <c r="K1927" s="3" t="s">
        <v>774</v>
      </c>
      <c r="L1927" s="4">
        <v>2031600</v>
      </c>
      <c r="M1927" s="1">
        <f>O1927*J1927*K1927</f>
        <v>78013.440000000002</v>
      </c>
      <c r="N1927" s="3"/>
      <c r="O1927" s="2">
        <f>L1927/J1927*(1-K1927)</f>
        <v>162528</v>
      </c>
    </row>
    <row r="1928" ht="14.25">
      <c r="A1928" s="3" t="s">
        <v>926</v>
      </c>
      <c r="B1928" s="3" t="s">
        <v>1380</v>
      </c>
      <c r="C1928" s="3" t="s">
        <v>1395</v>
      </c>
      <c r="D1928" s="3" t="s">
        <v>17</v>
      </c>
      <c r="E1928" s="3" t="s">
        <v>23</v>
      </c>
      <c r="F1928" s="3" t="s">
        <v>19</v>
      </c>
      <c r="G1928" s="4">
        <v>0</v>
      </c>
      <c r="H1928" s="4">
        <v>8200000</v>
      </c>
      <c r="I1928" s="3" t="s">
        <v>101</v>
      </c>
      <c r="J1928" s="4">
        <v>4</v>
      </c>
      <c r="K1928" s="3" t="s">
        <v>21</v>
      </c>
      <c r="L1928" s="4">
        <v>8200000</v>
      </c>
      <c r="M1928" s="1">
        <f>O1928*J1928*K1928</f>
        <v>0</v>
      </c>
      <c r="N1928" s="3"/>
      <c r="O1928" s="2">
        <f>L1928/J1928*(1-K1928)</f>
        <v>2050000</v>
      </c>
    </row>
    <row r="1929" ht="14.25">
      <c r="A1929" s="3" t="s">
        <v>926</v>
      </c>
      <c r="B1929" s="3" t="s">
        <v>926</v>
      </c>
      <c r="C1929" s="3" t="s">
        <v>1396</v>
      </c>
      <c r="D1929" s="3" t="s">
        <v>17</v>
      </c>
      <c r="E1929" s="3" t="s">
        <v>704</v>
      </c>
      <c r="F1929" s="3" t="s">
        <v>19</v>
      </c>
      <c r="G1929" s="4">
        <v>0</v>
      </c>
      <c r="H1929" s="4">
        <v>1128600</v>
      </c>
      <c r="I1929" s="3" t="s">
        <v>493</v>
      </c>
      <c r="J1929" s="4">
        <v>20</v>
      </c>
      <c r="K1929" s="3" t="s">
        <v>745</v>
      </c>
      <c r="L1929" s="4">
        <v>820000</v>
      </c>
      <c r="M1929" s="1">
        <f>O1929*J1929*K1929</f>
        <v>53382.000000000007</v>
      </c>
      <c r="N1929" s="3"/>
      <c r="O1929" s="2">
        <f>L1929/J1929*(1-K1929)</f>
        <v>38130</v>
      </c>
    </row>
    <row r="1930" ht="14.25">
      <c r="A1930" s="3" t="s">
        <v>926</v>
      </c>
      <c r="B1930" s="3" t="s">
        <v>926</v>
      </c>
      <c r="C1930" s="3" t="s">
        <v>1396</v>
      </c>
      <c r="D1930" s="3" t="s">
        <v>17</v>
      </c>
      <c r="E1930" s="3" t="s">
        <v>704</v>
      </c>
      <c r="F1930" s="3" t="s">
        <v>19</v>
      </c>
      <c r="G1930" s="4">
        <v>0</v>
      </c>
      <c r="H1930" s="4">
        <v>1128600</v>
      </c>
      <c r="I1930" s="3" t="s">
        <v>46</v>
      </c>
      <c r="J1930" s="4">
        <v>12</v>
      </c>
      <c r="K1930" s="3" t="s">
        <v>21</v>
      </c>
      <c r="L1930" s="4">
        <v>366000</v>
      </c>
      <c r="M1930" s="1">
        <f>O1930*J1930*K1930</f>
        <v>0</v>
      </c>
      <c r="N1930" s="3"/>
      <c r="O1930" s="2">
        <f>L1930/J1930*(1-K1930)</f>
        <v>30500</v>
      </c>
    </row>
    <row r="1931" ht="14.25">
      <c r="A1931" s="3" t="s">
        <v>961</v>
      </c>
      <c r="B1931" s="3" t="s">
        <v>973</v>
      </c>
      <c r="C1931" s="3" t="s">
        <v>1397</v>
      </c>
      <c r="D1931" s="3" t="s">
        <v>17</v>
      </c>
      <c r="E1931" s="3" t="s">
        <v>34</v>
      </c>
      <c r="F1931" s="3" t="s">
        <v>19</v>
      </c>
      <c r="G1931" s="4">
        <v>0</v>
      </c>
      <c r="H1931" s="4">
        <v>9700000</v>
      </c>
      <c r="I1931" s="3" t="s">
        <v>39</v>
      </c>
      <c r="J1931" s="4">
        <v>2</v>
      </c>
      <c r="K1931" s="3" t="s">
        <v>21</v>
      </c>
      <c r="L1931" s="4">
        <v>6600000</v>
      </c>
      <c r="M1931" s="1">
        <f>O1931*J1931*K1931</f>
        <v>0</v>
      </c>
      <c r="N1931" s="3"/>
      <c r="O1931" s="2">
        <f>L1931/J1931*(1-K1931)</f>
        <v>3300000</v>
      </c>
    </row>
    <row r="1932" ht="14.25">
      <c r="A1932" s="3" t="s">
        <v>961</v>
      </c>
      <c r="B1932" s="3" t="s">
        <v>973</v>
      </c>
      <c r="C1932" s="3" t="s">
        <v>1397</v>
      </c>
      <c r="D1932" s="3" t="s">
        <v>17</v>
      </c>
      <c r="E1932" s="3" t="s">
        <v>34</v>
      </c>
      <c r="F1932" s="3" t="s">
        <v>19</v>
      </c>
      <c r="G1932" s="4">
        <v>0</v>
      </c>
      <c r="H1932" s="4">
        <v>9700000</v>
      </c>
      <c r="I1932" s="3" t="s">
        <v>1280</v>
      </c>
      <c r="J1932" s="4">
        <v>1</v>
      </c>
      <c r="K1932" s="3" t="s">
        <v>21</v>
      </c>
      <c r="L1932" s="4">
        <v>3100000</v>
      </c>
      <c r="M1932" s="1">
        <f>O1932*J1932*K1932</f>
        <v>0</v>
      </c>
      <c r="N1932" s="3"/>
      <c r="O1932" s="2">
        <f>L1932/J1932*(1-K1932)</f>
        <v>3100000</v>
      </c>
    </row>
    <row r="1933" ht="14.25">
      <c r="A1933" s="3" t="s">
        <v>961</v>
      </c>
      <c r="B1933" s="3" t="s">
        <v>973</v>
      </c>
      <c r="C1933" s="3" t="s">
        <v>1398</v>
      </c>
      <c r="D1933" s="3" t="s">
        <v>17</v>
      </c>
      <c r="E1933" s="3" t="s">
        <v>755</v>
      </c>
      <c r="F1933" s="3" t="s">
        <v>19</v>
      </c>
      <c r="G1933" s="4">
        <v>0</v>
      </c>
      <c r="H1933" s="4">
        <v>4073980</v>
      </c>
      <c r="I1933" s="3" t="s">
        <v>493</v>
      </c>
      <c r="J1933" s="4">
        <v>40</v>
      </c>
      <c r="K1933" s="3" t="s">
        <v>21</v>
      </c>
      <c r="L1933" s="4">
        <v>1558000</v>
      </c>
      <c r="M1933" s="1">
        <f>O1933*J1933*K1933</f>
        <v>0</v>
      </c>
      <c r="N1933" s="3"/>
      <c r="O1933" s="2">
        <f>L1933/J1933*(1-K1933)</f>
        <v>38950</v>
      </c>
    </row>
    <row r="1934" ht="14.25">
      <c r="A1934" s="3" t="s">
        <v>961</v>
      </c>
      <c r="B1934" s="3" t="s">
        <v>973</v>
      </c>
      <c r="C1934" s="3" t="s">
        <v>1398</v>
      </c>
      <c r="D1934" s="3" t="s">
        <v>17</v>
      </c>
      <c r="E1934" s="3" t="s">
        <v>755</v>
      </c>
      <c r="F1934" s="3" t="s">
        <v>19</v>
      </c>
      <c r="G1934" s="4">
        <v>0</v>
      </c>
      <c r="H1934" s="4">
        <v>4073980</v>
      </c>
      <c r="I1934" s="3" t="s">
        <v>1399</v>
      </c>
      <c r="J1934" s="4">
        <v>20</v>
      </c>
      <c r="K1934" s="3" t="s">
        <v>21</v>
      </c>
      <c r="L1934" s="4">
        <v>773300</v>
      </c>
      <c r="M1934" s="1">
        <f>O1934*J1934*K1934</f>
        <v>0</v>
      </c>
      <c r="N1934" s="3"/>
      <c r="O1934" s="2">
        <f>L1934/J1934*(1-K1934)</f>
        <v>38665</v>
      </c>
    </row>
    <row r="1935" ht="14.25">
      <c r="A1935" s="3" t="s">
        <v>961</v>
      </c>
      <c r="B1935" s="3" t="s">
        <v>973</v>
      </c>
      <c r="C1935" s="3" t="s">
        <v>1398</v>
      </c>
      <c r="D1935" s="3" t="s">
        <v>17</v>
      </c>
      <c r="E1935" s="3" t="s">
        <v>755</v>
      </c>
      <c r="F1935" s="3" t="s">
        <v>19</v>
      </c>
      <c r="G1935" s="4">
        <v>0</v>
      </c>
      <c r="H1935" s="4">
        <v>4073980</v>
      </c>
      <c r="I1935" s="3" t="s">
        <v>137</v>
      </c>
      <c r="J1935" s="4">
        <v>20</v>
      </c>
      <c r="K1935" s="3" t="s">
        <v>21</v>
      </c>
      <c r="L1935" s="4">
        <v>828400</v>
      </c>
      <c r="M1935" s="1">
        <f>O1935*J1935*K1935</f>
        <v>0</v>
      </c>
      <c r="N1935" s="3"/>
      <c r="O1935" s="2">
        <f>L1935/J1935*(1-K1935)</f>
        <v>41420</v>
      </c>
    </row>
    <row r="1936" ht="14.25">
      <c r="A1936" s="3" t="s">
        <v>961</v>
      </c>
      <c r="B1936" s="3" t="s">
        <v>973</v>
      </c>
      <c r="C1936" s="3" t="s">
        <v>1398</v>
      </c>
      <c r="D1936" s="3" t="s">
        <v>17</v>
      </c>
      <c r="E1936" s="3" t="s">
        <v>755</v>
      </c>
      <c r="F1936" s="3" t="s">
        <v>19</v>
      </c>
      <c r="G1936" s="4">
        <v>0</v>
      </c>
      <c r="H1936" s="4">
        <v>4073980</v>
      </c>
      <c r="I1936" s="3" t="s">
        <v>296</v>
      </c>
      <c r="J1936" s="4">
        <v>24</v>
      </c>
      <c r="K1936" s="3" t="s">
        <v>21</v>
      </c>
      <c r="L1936" s="4">
        <v>914280</v>
      </c>
      <c r="M1936" s="1">
        <f>O1936*J1936*K1936</f>
        <v>0</v>
      </c>
      <c r="N1936" s="3"/>
      <c r="O1936" s="2">
        <f>L1936/J1936*(1-K1936)</f>
        <v>38095</v>
      </c>
    </row>
    <row r="1937" ht="14.25">
      <c r="A1937" s="3" t="s">
        <v>961</v>
      </c>
      <c r="B1937" s="3" t="s">
        <v>961</v>
      </c>
      <c r="C1937" s="3" t="s">
        <v>1400</v>
      </c>
      <c r="D1937" s="3" t="s">
        <v>17</v>
      </c>
      <c r="E1937" s="3" t="s">
        <v>598</v>
      </c>
      <c r="F1937" s="3" t="s">
        <v>19</v>
      </c>
      <c r="G1937" s="4">
        <v>0</v>
      </c>
      <c r="H1937" s="4">
        <v>13500000</v>
      </c>
      <c r="I1937" s="3" t="s">
        <v>135</v>
      </c>
      <c r="J1937" s="4">
        <v>5</v>
      </c>
      <c r="K1937" s="3" t="s">
        <v>21</v>
      </c>
      <c r="L1937" s="4">
        <v>6625000</v>
      </c>
      <c r="M1937" s="1">
        <f>O1937*J1937*K1937</f>
        <v>0</v>
      </c>
      <c r="N1937" s="3"/>
      <c r="O1937" s="2">
        <f>L1937/J1937*(1-K1937)</f>
        <v>1325000</v>
      </c>
    </row>
    <row r="1938" ht="14.25">
      <c r="A1938" s="3" t="s">
        <v>961</v>
      </c>
      <c r="B1938" s="3" t="s">
        <v>961</v>
      </c>
      <c r="C1938" s="3" t="s">
        <v>1400</v>
      </c>
      <c r="D1938" s="3" t="s">
        <v>17</v>
      </c>
      <c r="E1938" s="3" t="s">
        <v>598</v>
      </c>
      <c r="F1938" s="3" t="s">
        <v>19</v>
      </c>
      <c r="G1938" s="4">
        <v>0</v>
      </c>
      <c r="H1938" s="4">
        <v>13500000</v>
      </c>
      <c r="I1938" s="3" t="s">
        <v>136</v>
      </c>
      <c r="J1938" s="4">
        <v>5</v>
      </c>
      <c r="K1938" s="3" t="s">
        <v>21</v>
      </c>
      <c r="L1938" s="4">
        <v>6875000</v>
      </c>
      <c r="M1938" s="1">
        <f>O1938*J1938*K1938</f>
        <v>0</v>
      </c>
      <c r="N1938" s="3"/>
      <c r="O1938" s="2">
        <f>L1938/J1938*(1-K1938)</f>
        <v>1375000</v>
      </c>
    </row>
    <row r="1939" ht="14.25">
      <c r="A1939" s="3" t="s">
        <v>961</v>
      </c>
      <c r="B1939" s="3" t="s">
        <v>961</v>
      </c>
      <c r="C1939" s="3" t="s">
        <v>1401</v>
      </c>
      <c r="D1939" s="3" t="s">
        <v>17</v>
      </c>
      <c r="E1939" s="3" t="s">
        <v>1402</v>
      </c>
      <c r="F1939" s="3" t="s">
        <v>19</v>
      </c>
      <c r="G1939" s="4">
        <v>0</v>
      </c>
      <c r="H1939" s="4">
        <v>3500000</v>
      </c>
      <c r="I1939" s="3" t="s">
        <v>39</v>
      </c>
      <c r="J1939" s="4">
        <v>1</v>
      </c>
      <c r="K1939" s="3" t="s">
        <v>21</v>
      </c>
      <c r="L1939" s="4">
        <v>3500000</v>
      </c>
      <c r="M1939" s="1">
        <f>O1939*J1939*K1939</f>
        <v>0</v>
      </c>
      <c r="N1939" s="3"/>
      <c r="O1939" s="2">
        <f>L1939/J1939*(1-K1939)</f>
        <v>3500000</v>
      </c>
    </row>
    <row r="1940" ht="14.25">
      <c r="A1940" s="3" t="s">
        <v>961</v>
      </c>
      <c r="B1940" s="3" t="s">
        <v>961</v>
      </c>
      <c r="C1940" s="3" t="s">
        <v>1403</v>
      </c>
      <c r="D1940" s="3" t="s">
        <v>17</v>
      </c>
      <c r="E1940" s="3" t="s">
        <v>596</v>
      </c>
      <c r="F1940" s="3" t="s">
        <v>19</v>
      </c>
      <c r="G1940" s="4">
        <v>0</v>
      </c>
      <c r="H1940" s="4">
        <v>4260000</v>
      </c>
      <c r="I1940" s="3" t="s">
        <v>39</v>
      </c>
      <c r="J1940" s="4">
        <v>1</v>
      </c>
      <c r="K1940" s="3" t="s">
        <v>21</v>
      </c>
      <c r="L1940" s="4">
        <v>3600000</v>
      </c>
      <c r="M1940" s="1">
        <f>O1940*J1940*K1940</f>
        <v>0</v>
      </c>
      <c r="N1940" s="3"/>
      <c r="O1940" s="2">
        <f>L1940/J1940*(1-K1940)</f>
        <v>3600000</v>
      </c>
    </row>
    <row r="1941" ht="14.25">
      <c r="A1941" s="3" t="s">
        <v>961</v>
      </c>
      <c r="B1941" s="3" t="s">
        <v>961</v>
      </c>
      <c r="C1941" s="3" t="s">
        <v>1403</v>
      </c>
      <c r="D1941" s="3" t="s">
        <v>17</v>
      </c>
      <c r="E1941" s="3" t="s">
        <v>596</v>
      </c>
      <c r="F1941" s="3" t="s">
        <v>19</v>
      </c>
      <c r="G1941" s="4">
        <v>0</v>
      </c>
      <c r="H1941" s="4">
        <v>4260000</v>
      </c>
      <c r="I1941" s="3" t="s">
        <v>400</v>
      </c>
      <c r="J1941" s="4">
        <v>2</v>
      </c>
      <c r="K1941" s="3" t="s">
        <v>21</v>
      </c>
      <c r="L1941" s="4">
        <v>660000</v>
      </c>
      <c r="M1941" s="1">
        <f>O1941*J1941*K1941</f>
        <v>0</v>
      </c>
      <c r="N1941" s="3"/>
      <c r="O1941" s="2">
        <f>L1941/J1941*(1-K1941)</f>
        <v>330000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2026-04-15T18:23:38Z</dcterms:modified>
</cp:coreProperties>
</file>